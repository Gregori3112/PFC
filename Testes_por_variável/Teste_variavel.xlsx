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P\Development\PSO_PYTHON_WING\Testes_por_variável\"/>
    </mc:Choice>
  </mc:AlternateContent>
  <xr:revisionPtr revIDLastSave="0" documentId="13_ncr:1_{660017E3-0F1C-4C1D-8B47-58D296646DBD}" xr6:coauthVersionLast="47" xr6:coauthVersionMax="47" xr10:uidLastSave="{00000000-0000-0000-0000-000000000000}"/>
  <bookViews>
    <workbookView xWindow="28680" yWindow="-105" windowWidth="29040" windowHeight="15720" activeTab="1" xr2:uid="{150A171C-770E-4DC8-81EB-33E0B26E9941}"/>
  </bookViews>
  <sheets>
    <sheet name="Teste 1" sheetId="1" r:id="rId1"/>
    <sheet name="Teste 2" sheetId="2" r:id="rId2"/>
    <sheet name="CDi x 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21" i="3"/>
  <c r="B22" i="3"/>
  <c r="B23" i="3"/>
  <c r="B24" i="3"/>
  <c r="B25" i="3"/>
  <c r="B26" i="3"/>
  <c r="B27" i="3"/>
  <c r="B28" i="3"/>
  <c r="B29" i="3"/>
  <c r="B18" i="3"/>
  <c r="G19" i="3"/>
  <c r="G20" i="3"/>
  <c r="G21" i="3"/>
  <c r="G22" i="3"/>
  <c r="G23" i="3"/>
  <c r="G24" i="3"/>
  <c r="G25" i="3"/>
  <c r="G26" i="3"/>
  <c r="G27" i="3"/>
  <c r="G28" i="3"/>
  <c r="G29" i="3"/>
  <c r="G18" i="3"/>
  <c r="F29" i="3"/>
  <c r="F28" i="3"/>
  <c r="F27" i="3"/>
  <c r="F26" i="3"/>
  <c r="F25" i="3"/>
  <c r="F24" i="3"/>
  <c r="F23" i="3"/>
  <c r="F22" i="3"/>
  <c r="F21" i="3"/>
  <c r="F20" i="3"/>
  <c r="F19" i="3"/>
  <c r="F18" i="3"/>
  <c r="C29" i="3"/>
  <c r="C28" i="3"/>
  <c r="C27" i="3"/>
  <c r="C26" i="3"/>
  <c r="C25" i="3"/>
  <c r="C24" i="3"/>
  <c r="C23" i="3"/>
  <c r="C22" i="3"/>
  <c r="C21" i="3"/>
  <c r="C20" i="3"/>
  <c r="C19" i="3"/>
  <c r="C18" i="3"/>
  <c r="B7" i="3"/>
  <c r="B10" i="3"/>
  <c r="C4" i="3"/>
  <c r="B4" i="3" s="1"/>
  <c r="C5" i="3"/>
  <c r="B5" i="3" s="1"/>
  <c r="C6" i="3"/>
  <c r="B6" i="3" s="1"/>
  <c r="C7" i="3"/>
  <c r="C8" i="3"/>
  <c r="B8" i="3" s="1"/>
  <c r="C9" i="3"/>
  <c r="B9" i="3" s="1"/>
  <c r="C10" i="3"/>
  <c r="C11" i="3"/>
  <c r="B11" i="3" s="1"/>
  <c r="C12" i="3"/>
  <c r="B12" i="3" s="1"/>
  <c r="C13" i="3"/>
  <c r="B13" i="3" s="1"/>
  <c r="C14" i="3"/>
  <c r="B14" i="3" s="1"/>
  <c r="C3" i="3"/>
  <c r="F4" i="3"/>
  <c r="F5" i="3"/>
  <c r="F6" i="3"/>
  <c r="F7" i="3"/>
  <c r="F8" i="3"/>
  <c r="F9" i="3"/>
  <c r="F10" i="3"/>
  <c r="F11" i="3"/>
  <c r="F12" i="3"/>
  <c r="F13" i="3"/>
  <c r="F14" i="3"/>
  <c r="F3" i="3"/>
  <c r="B3" i="3" s="1"/>
  <c r="G38" i="2"/>
  <c r="G37" i="2"/>
  <c r="G36" i="2"/>
  <c r="G31" i="2"/>
  <c r="G30" i="2"/>
  <c r="G29" i="2"/>
  <c r="G24" i="2"/>
  <c r="G23" i="2"/>
  <c r="G22" i="2"/>
  <c r="G17" i="2"/>
  <c r="G16" i="2"/>
  <c r="G15" i="2"/>
  <c r="G10" i="2"/>
  <c r="G9" i="2"/>
  <c r="G8" i="2"/>
  <c r="K8" i="2"/>
  <c r="M8" i="2" s="1"/>
  <c r="I38" i="2"/>
  <c r="K38" i="2" s="1"/>
  <c r="M38" i="2" s="1"/>
  <c r="I37" i="2"/>
  <c r="I36" i="2"/>
  <c r="K36" i="2" s="1"/>
  <c r="M36" i="2" s="1"/>
  <c r="I31" i="2"/>
  <c r="I30" i="2"/>
  <c r="I29" i="2"/>
  <c r="I24" i="2"/>
  <c r="I23" i="2"/>
  <c r="I22" i="2"/>
  <c r="K22" i="2" s="1"/>
  <c r="M22" i="2" s="1"/>
  <c r="I17" i="2"/>
  <c r="I16" i="2"/>
  <c r="I15" i="2"/>
  <c r="K15" i="2" s="1"/>
  <c r="M15" i="2" s="1"/>
  <c r="I10" i="2"/>
  <c r="K10" i="2" s="1"/>
  <c r="M10" i="2" s="1"/>
  <c r="I9" i="2"/>
  <c r="I8" i="2"/>
  <c r="K37" i="2"/>
  <c r="M37" i="2" s="1"/>
  <c r="K31" i="2"/>
  <c r="M31" i="2" s="1"/>
  <c r="K30" i="2"/>
  <c r="M30" i="2" s="1"/>
  <c r="K29" i="2"/>
  <c r="M29" i="2" s="1"/>
  <c r="K24" i="2"/>
  <c r="M24" i="2" s="1"/>
  <c r="K23" i="2"/>
  <c r="M23" i="2" s="1"/>
  <c r="K17" i="2"/>
  <c r="M17" i="2" s="1"/>
  <c r="K16" i="2"/>
  <c r="M16" i="2" s="1"/>
  <c r="K9" i="2"/>
  <c r="M9" i="2" s="1"/>
  <c r="G8" i="1"/>
  <c r="E38" i="1"/>
  <c r="E37" i="1"/>
  <c r="E36" i="1"/>
  <c r="E31" i="1"/>
  <c r="E30" i="1"/>
  <c r="E29" i="1"/>
  <c r="E24" i="1"/>
  <c r="E23" i="1"/>
  <c r="E22" i="1"/>
  <c r="E17" i="1"/>
  <c r="E16" i="1"/>
  <c r="E15" i="1"/>
  <c r="E9" i="1"/>
  <c r="E10" i="1"/>
  <c r="E8" i="1"/>
  <c r="K31" i="1"/>
  <c r="K23" i="1"/>
  <c r="I8" i="1"/>
  <c r="K8" i="1" s="1"/>
  <c r="G38" i="1"/>
  <c r="G37" i="1"/>
  <c r="G36" i="1"/>
  <c r="G31" i="1"/>
  <c r="G30" i="1"/>
  <c r="G29" i="1"/>
  <c r="G24" i="1"/>
  <c r="G23" i="1"/>
  <c r="G22" i="1"/>
  <c r="G17" i="1"/>
  <c r="G16" i="1"/>
  <c r="G15" i="1"/>
  <c r="G9" i="1"/>
  <c r="G10" i="1"/>
  <c r="I10" i="1" s="1"/>
  <c r="K10" i="1" s="1"/>
  <c r="I38" i="1"/>
  <c r="K38" i="1" s="1"/>
  <c r="I29" i="1"/>
  <c r="K29" i="1" s="1"/>
  <c r="I37" i="1"/>
  <c r="K37" i="1" s="1"/>
  <c r="I31" i="1"/>
  <c r="I30" i="1"/>
  <c r="K30" i="1" s="1"/>
  <c r="I36" i="1"/>
  <c r="K36" i="1" s="1"/>
  <c r="I23" i="1"/>
  <c r="I22" i="1"/>
  <c r="K22" i="1" s="1"/>
  <c r="I17" i="1"/>
  <c r="K17" i="1" s="1"/>
  <c r="I16" i="1"/>
  <c r="K16" i="1" s="1"/>
  <c r="I9" i="1"/>
  <c r="K9" i="1" s="1"/>
  <c r="I15" i="1" l="1"/>
  <c r="K15" i="1" s="1"/>
  <c r="I24" i="1"/>
  <c r="K24" i="1" s="1"/>
</calcChain>
</file>

<file path=xl/sharedStrings.xml><?xml version="1.0" encoding="utf-8"?>
<sst xmlns="http://schemas.openxmlformats.org/spreadsheetml/2006/main" count="155" uniqueCount="35">
  <si>
    <t>L/D</t>
  </si>
  <si>
    <t>CLtot</t>
  </si>
  <si>
    <t>CDtot</t>
  </si>
  <si>
    <t>Alpha (º)</t>
  </si>
  <si>
    <t>Asa Base</t>
  </si>
  <si>
    <t>Asa AR variável</t>
  </si>
  <si>
    <t>AR</t>
  </si>
  <si>
    <t>Span</t>
  </si>
  <si>
    <t>Asa Span variável</t>
  </si>
  <si>
    <t>Asa Taper variável</t>
  </si>
  <si>
    <t>Taper</t>
  </si>
  <si>
    <t>Asa Sweep variável</t>
  </si>
  <si>
    <t>Sweep</t>
  </si>
  <si>
    <t>Asa Twist variável</t>
  </si>
  <si>
    <t>Twist</t>
  </si>
  <si>
    <t>rho</t>
  </si>
  <si>
    <t>%</t>
  </si>
  <si>
    <t>W (lbf)</t>
  </si>
  <si>
    <t>L (lbf)</t>
  </si>
  <si>
    <t>S (ft²)</t>
  </si>
  <si>
    <t>V² (ft/s)</t>
  </si>
  <si>
    <t>xmin</t>
  </si>
  <si>
    <t>xmax</t>
  </si>
  <si>
    <t>Cdi</t>
  </si>
  <si>
    <t>Mach</t>
  </si>
  <si>
    <t>Di</t>
  </si>
  <si>
    <t>K</t>
  </si>
  <si>
    <t>V (ft/s)</t>
  </si>
  <si>
    <t>rho ( slug/ft³)</t>
  </si>
  <si>
    <t>e</t>
  </si>
  <si>
    <t>pi</t>
  </si>
  <si>
    <t>W(lbf)</t>
  </si>
  <si>
    <t>Calculado utilizando a fórmula simplificada Raymer, D. (2012). Aircraft Design: A Conceptual Approach, 5th ed. AIAA, Appendix A &amp; Chapter 3.</t>
  </si>
  <si>
    <t>q</t>
  </si>
  <si>
    <t>Cdtot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</si>
</sst>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Sensibilidade de Alpha para cada variável mantendo CL</a:t>
            </a:r>
            <a:r>
              <a:rPr lang="en-US" baseline="0"/>
              <a:t> dentro da tolerância.</a:t>
            </a:r>
            <a:endParaRPr lang="en-US"/>
          </a:p>
        </c:rich>
      </c:tx>
      <c:layout>
        <c:manualLayout>
          <c:xMode val="edge"/>
          <c:yMode val="edge"/>
          <c:x val="0.12570054069612058"/>
          <c:y val="3.6380164121328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Alpha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'Teste 1'!$B$8:$B$10</c:f>
              <c:numCache>
                <c:formatCode>General</c:formatCode>
                <c:ptCount val="3"/>
                <c:pt idx="0">
                  <c:v>0.2</c:v>
                </c:pt>
                <c:pt idx="1">
                  <c:v>-0.5</c:v>
                </c:pt>
                <c:pt idx="2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0-46AB-AEEC-3C6575BEE8AB}"/>
            </c:ext>
          </c:extLst>
        </c:ser>
        <c:ser>
          <c:idx val="1"/>
          <c:order val="1"/>
          <c:tx>
            <c:v>Alpha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'Teste 1'!$B$15:$B$17</c:f>
              <c:numCache>
                <c:formatCode>General</c:formatCode>
                <c:ptCount val="3"/>
                <c:pt idx="0">
                  <c:v>-0.2</c:v>
                </c:pt>
                <c:pt idx="1">
                  <c:v>-0.4</c:v>
                </c:pt>
                <c:pt idx="2">
                  <c:v>-0.6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F0-46AB-AEEC-3C6575BEE8AB}"/>
            </c:ext>
          </c:extLst>
        </c:ser>
        <c:ser>
          <c:idx val="2"/>
          <c:order val="2"/>
          <c:tx>
            <c:v>Alpha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'Teste 1'!$B$22:$B$24</c:f>
              <c:numCache>
                <c:formatCode>General</c:formatCode>
                <c:ptCount val="3"/>
                <c:pt idx="0">
                  <c:v>-0.6</c:v>
                </c:pt>
                <c:pt idx="1">
                  <c:v>-0.5</c:v>
                </c:pt>
                <c:pt idx="2">
                  <c:v>-0.4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F0-46AB-AEEC-3C6575BEE8AB}"/>
            </c:ext>
          </c:extLst>
        </c:ser>
        <c:ser>
          <c:idx val="3"/>
          <c:order val="3"/>
          <c:tx>
            <c:v>Alpha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'Teste 1'!$B$29:$B$31</c:f>
              <c:numCache>
                <c:formatCode>General</c:formatCode>
                <c:ptCount val="3"/>
                <c:pt idx="0">
                  <c:v>-0.4</c:v>
                </c:pt>
                <c:pt idx="1">
                  <c:v>-0.4</c:v>
                </c:pt>
                <c:pt idx="2">
                  <c:v>-0.4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F0-46AB-AEEC-3C6575BEE8AB}"/>
            </c:ext>
          </c:extLst>
        </c:ser>
        <c:ser>
          <c:idx val="4"/>
          <c:order val="4"/>
          <c:tx>
            <c:v>Alpha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'Teste 1'!$B$36:$B$38</c:f>
              <c:numCache>
                <c:formatCode>General</c:formatCode>
                <c:ptCount val="3"/>
                <c:pt idx="0">
                  <c:v>0.9</c:v>
                </c:pt>
                <c:pt idx="1">
                  <c:v>-0.4</c:v>
                </c:pt>
                <c:pt idx="2">
                  <c:v>-1.7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F0-46AB-AEEC-3C6575BEE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814496"/>
        <c:axId val="1184819776"/>
      </c:lineChart>
      <c:catAx>
        <c:axId val="118481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819776"/>
        <c:crosses val="autoZero"/>
        <c:auto val="1"/>
        <c:lblAlgn val="ctr"/>
        <c:lblOffset val="100"/>
        <c:noMultiLvlLbl val="0"/>
      </c:catAx>
      <c:valAx>
        <c:axId val="118481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814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Resposta</a:t>
            </a:r>
            <a:r>
              <a:rPr lang="en-US" baseline="0"/>
              <a:t> de L/D com a variação de cada variável.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L/D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'Teste 1'!$E$8:$E$10</c:f>
              <c:numCache>
                <c:formatCode>#,##0.0000</c:formatCode>
                <c:ptCount val="3"/>
                <c:pt idx="0">
                  <c:v>24.424036281179138</c:v>
                </c:pt>
                <c:pt idx="1">
                  <c:v>23.813202247191015</c:v>
                </c:pt>
                <c:pt idx="2">
                  <c:v>20.479495268138802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78-4AC9-AACB-4E28CB33E2B0}"/>
            </c:ext>
          </c:extLst>
        </c:ser>
        <c:ser>
          <c:idx val="1"/>
          <c:order val="1"/>
          <c:tx>
            <c:v>L/D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'Teste 1'!$E$15:$E$17</c:f>
              <c:numCache>
                <c:formatCode>#,##0.0000</c:formatCode>
                <c:ptCount val="3"/>
                <c:pt idx="0">
                  <c:v>24.543701799485863</c:v>
                </c:pt>
                <c:pt idx="1">
                  <c:v>24.133058984910839</c:v>
                </c:pt>
                <c:pt idx="2">
                  <c:v>22.932761087267526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78-4AC9-AACB-4E28CB33E2B0}"/>
            </c:ext>
          </c:extLst>
        </c:ser>
        <c:ser>
          <c:idx val="2"/>
          <c:order val="2"/>
          <c:tx>
            <c:v>L/D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'Teste 1'!$E$22:$E$24</c:f>
              <c:numCache>
                <c:formatCode>#,##0.0000</c:formatCode>
                <c:ptCount val="3"/>
                <c:pt idx="0">
                  <c:v>30.19528178243775</c:v>
                </c:pt>
                <c:pt idx="1">
                  <c:v>24.997493734335841</c:v>
                </c:pt>
                <c:pt idx="2">
                  <c:v>24.133058984910839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78-4AC9-AACB-4E28CB33E2B0}"/>
            </c:ext>
          </c:extLst>
        </c:ser>
        <c:ser>
          <c:idx val="3"/>
          <c:order val="3"/>
          <c:tx>
            <c:v>L/D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'Teste 1'!$E$29:$E$31</c:f>
              <c:numCache>
                <c:formatCode>#,##0.0000</c:formatCode>
                <c:ptCount val="3"/>
                <c:pt idx="0">
                  <c:v>24.133058984910839</c:v>
                </c:pt>
                <c:pt idx="1">
                  <c:v>29.039538714991764</c:v>
                </c:pt>
                <c:pt idx="2">
                  <c:v>39.207964601769909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78-4AC9-AACB-4E28CB33E2B0}"/>
            </c:ext>
          </c:extLst>
        </c:ser>
        <c:ser>
          <c:idx val="4"/>
          <c:order val="4"/>
          <c:tx>
            <c:v>L/D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'Teste 1'!$E$36:$E$38</c:f>
              <c:numCache>
                <c:formatCode>#,##0.0000</c:formatCode>
                <c:ptCount val="3"/>
                <c:pt idx="0">
                  <c:v>20.873659117997619</c:v>
                </c:pt>
                <c:pt idx="1">
                  <c:v>24.133058984910839</c:v>
                </c:pt>
                <c:pt idx="2">
                  <c:v>25.60144927536232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78-4AC9-AACB-4E28CB33E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767456"/>
        <c:axId val="1184793856"/>
      </c:lineChart>
      <c:catAx>
        <c:axId val="11847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93856"/>
        <c:crosses val="autoZero"/>
        <c:auto val="1"/>
        <c:lblAlgn val="ctr"/>
        <c:lblOffset val="100"/>
        <c:noMultiLvlLbl val="0"/>
      </c:catAx>
      <c:valAx>
        <c:axId val="1184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67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Resposta</a:t>
            </a:r>
            <a:r>
              <a:rPr lang="en-US" baseline="0"/>
              <a:t> de L com a variação de cada variável.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'Teste 1'!$I$8:$I$10</c:f>
              <c:numCache>
                <c:formatCode>General</c:formatCode>
                <c:ptCount val="3"/>
                <c:pt idx="0">
                  <c:v>3967.5168531918239</c:v>
                </c:pt>
                <c:pt idx="1">
                  <c:v>4163.6027757167321</c:v>
                </c:pt>
                <c:pt idx="2">
                  <c:v>3985.566089642145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7-4C2C-8880-223B6F67D6DF}"/>
            </c:ext>
          </c:extLst>
        </c:ser>
        <c:ser>
          <c:idx val="1"/>
          <c:order val="1"/>
          <c:tx>
            <c:v>L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'Teste 1'!$I$15:$I$17</c:f>
              <c:numCache>
                <c:formatCode>General</c:formatCode>
                <c:ptCount val="3"/>
                <c:pt idx="0">
                  <c:v>4154.0410078444183</c:v>
                </c:pt>
                <c:pt idx="1">
                  <c:v>4052.3110078706882</c:v>
                </c:pt>
                <c:pt idx="2">
                  <c:v>3897.5412480503619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7-4C2C-8880-223B6F67D6DF}"/>
            </c:ext>
          </c:extLst>
        </c:ser>
        <c:ser>
          <c:idx val="2"/>
          <c:order val="2"/>
          <c:tx>
            <c:v>L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'Teste 1'!$I$22:$I$24</c:f>
              <c:numCache>
                <c:formatCode>General</c:formatCode>
                <c:ptCount val="3"/>
                <c:pt idx="0">
                  <c:v>3951.6195230003923</c:v>
                </c:pt>
                <c:pt idx="1">
                  <c:v>3992.1411512961672</c:v>
                </c:pt>
                <c:pt idx="2">
                  <c:v>4052.3110078706882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67-4C2C-8880-223B6F67D6DF}"/>
            </c:ext>
          </c:extLst>
        </c:ser>
        <c:ser>
          <c:idx val="3"/>
          <c:order val="3"/>
          <c:tx>
            <c:v>L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'Teste 1'!$I$29:$I$31</c:f>
              <c:numCache>
                <c:formatCode>General</c:formatCode>
                <c:ptCount val="3"/>
                <c:pt idx="0">
                  <c:v>4052.3110078706882</c:v>
                </c:pt>
                <c:pt idx="1">
                  <c:v>4060.1424507324855</c:v>
                </c:pt>
                <c:pt idx="2">
                  <c:v>4082.0244234345664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67-4C2C-8880-223B6F67D6DF}"/>
            </c:ext>
          </c:extLst>
        </c:ser>
        <c:ser>
          <c:idx val="4"/>
          <c:order val="4"/>
          <c:tx>
            <c:v>L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'Teste 1'!$I$36:$I$38</c:f>
              <c:numCache>
                <c:formatCode>General</c:formatCode>
                <c:ptCount val="3"/>
                <c:pt idx="0">
                  <c:v>4033.8840834899879</c:v>
                </c:pt>
                <c:pt idx="1">
                  <c:v>4052.3110078706882</c:v>
                </c:pt>
                <c:pt idx="2">
                  <c:v>4068.8952398133179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67-4C2C-8880-223B6F67D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767456"/>
        <c:axId val="1184793856"/>
      </c:lineChart>
      <c:catAx>
        <c:axId val="11847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93856"/>
        <c:crosses val="autoZero"/>
        <c:auto val="1"/>
        <c:lblAlgn val="ctr"/>
        <c:lblOffset val="100"/>
        <c:noMultiLvlLbl val="0"/>
      </c:catAx>
      <c:valAx>
        <c:axId val="1184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67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Resposta</a:t>
            </a:r>
            <a:r>
              <a:rPr lang="en-US" baseline="0"/>
              <a:t> de CDtot com a variação de cada variável.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Cdtot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'Teste 1'!$D$8:$D$10</c:f>
              <c:numCache>
                <c:formatCode>General</c:formatCode>
                <c:ptCount val="3"/>
                <c:pt idx="0">
                  <c:v>8.8199999999999997E-3</c:v>
                </c:pt>
                <c:pt idx="1">
                  <c:v>7.1199999999999996E-3</c:v>
                </c:pt>
                <c:pt idx="2">
                  <c:v>6.3400000000000001E-3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A7-4C05-85A3-118CD90321F4}"/>
            </c:ext>
          </c:extLst>
        </c:ser>
        <c:ser>
          <c:idx val="1"/>
          <c:order val="1"/>
          <c:tx>
            <c:v>CDtot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'Teste 1'!$D$15:$D$17</c:f>
              <c:numCache>
                <c:formatCode>General</c:formatCode>
                <c:ptCount val="3"/>
                <c:pt idx="0">
                  <c:v>7.7799999999999996E-3</c:v>
                </c:pt>
                <c:pt idx="1">
                  <c:v>7.2899999999999996E-3</c:v>
                </c:pt>
                <c:pt idx="2">
                  <c:v>6.9899999999999997E-3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A7-4C05-85A3-118CD90321F4}"/>
            </c:ext>
          </c:extLst>
        </c:ser>
        <c:ser>
          <c:idx val="2"/>
          <c:order val="2"/>
          <c:tx>
            <c:v>CDtot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'Teste 1'!$D$22:$D$24</c:f>
              <c:numCache>
                <c:formatCode>General</c:formatCode>
                <c:ptCount val="3"/>
                <c:pt idx="0">
                  <c:v>7.6299999999999996E-3</c:v>
                </c:pt>
                <c:pt idx="1">
                  <c:v>7.9799999999999992E-3</c:v>
                </c:pt>
                <c:pt idx="2">
                  <c:v>7.2899999999999996E-3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A7-4C05-85A3-118CD90321F4}"/>
            </c:ext>
          </c:extLst>
        </c:ser>
        <c:ser>
          <c:idx val="3"/>
          <c:order val="3"/>
          <c:tx>
            <c:v>CDtot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'Teste 1'!$D$29:$D$31</c:f>
              <c:numCache>
                <c:formatCode>General</c:formatCode>
                <c:ptCount val="3"/>
                <c:pt idx="0">
                  <c:v>7.2899999999999996E-3</c:v>
                </c:pt>
                <c:pt idx="1">
                  <c:v>6.0699999999999999E-3</c:v>
                </c:pt>
                <c:pt idx="2">
                  <c:v>4.5199999999999997E-3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A7-4C05-85A3-118CD90321F4}"/>
            </c:ext>
          </c:extLst>
        </c:ser>
        <c:ser>
          <c:idx val="4"/>
          <c:order val="4"/>
          <c:tx>
            <c:v>CDtot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'Teste 1'!$D$36:$D$38</c:f>
              <c:numCache>
                <c:formatCode>General</c:formatCode>
                <c:ptCount val="3"/>
                <c:pt idx="0">
                  <c:v>8.3899999999999999E-3</c:v>
                </c:pt>
                <c:pt idx="1">
                  <c:v>7.2899999999999996E-3</c:v>
                </c:pt>
                <c:pt idx="2">
                  <c:v>6.8999999999999999E-3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A7-4C05-85A3-118CD9032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767456"/>
        <c:axId val="1184793856"/>
      </c:lineChart>
      <c:catAx>
        <c:axId val="11847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93856"/>
        <c:crosses val="autoZero"/>
        <c:auto val="1"/>
        <c:lblAlgn val="ctr"/>
        <c:lblOffset val="100"/>
        <c:noMultiLvlLbl val="0"/>
      </c:catAx>
      <c:valAx>
        <c:axId val="1184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CDtot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67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Resposta</a:t>
            </a:r>
            <a:r>
              <a:rPr lang="en-US" baseline="0"/>
              <a:t> de CLtot com a variação de cada variável.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CLtot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'Teste 1'!$C$8:$C$10</c:f>
              <c:numCache>
                <c:formatCode>General</c:formatCode>
                <c:ptCount val="3"/>
                <c:pt idx="0">
                  <c:v>0.21542</c:v>
                </c:pt>
                <c:pt idx="1">
                  <c:v>0.16955000000000001</c:v>
                </c:pt>
                <c:pt idx="2">
                  <c:v>0.12984000000000001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9-4427-86E7-4AD00BF40F06}"/>
            </c:ext>
          </c:extLst>
        </c:ser>
        <c:ser>
          <c:idx val="1"/>
          <c:order val="1"/>
          <c:tx>
            <c:v>CLtot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'Teste 1'!$C$15:$C$17</c:f>
              <c:numCache>
                <c:formatCode>General</c:formatCode>
                <c:ptCount val="3"/>
                <c:pt idx="0">
                  <c:v>0.19095000000000001</c:v>
                </c:pt>
                <c:pt idx="1">
                  <c:v>0.17593</c:v>
                </c:pt>
                <c:pt idx="2">
                  <c:v>0.1603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9-4427-86E7-4AD00BF40F06}"/>
            </c:ext>
          </c:extLst>
        </c:ser>
        <c:ser>
          <c:idx val="2"/>
          <c:order val="2"/>
          <c:tx>
            <c:v>CLtot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'Teste 1'!$C$22:$C$24</c:f>
              <c:numCache>
                <c:formatCode>General</c:formatCode>
                <c:ptCount val="3"/>
                <c:pt idx="0">
                  <c:v>0.23039000000000001</c:v>
                </c:pt>
                <c:pt idx="1">
                  <c:v>0.19947999999999999</c:v>
                </c:pt>
                <c:pt idx="2">
                  <c:v>0.17593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19-4427-86E7-4AD00BF40F06}"/>
            </c:ext>
          </c:extLst>
        </c:ser>
        <c:ser>
          <c:idx val="3"/>
          <c:order val="3"/>
          <c:tx>
            <c:v>CLtot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'Teste 1'!$C$29:$C$31</c:f>
              <c:numCache>
                <c:formatCode>General</c:formatCode>
                <c:ptCount val="3"/>
                <c:pt idx="0">
                  <c:v>0.17593</c:v>
                </c:pt>
                <c:pt idx="1">
                  <c:v>0.17627000000000001</c:v>
                </c:pt>
                <c:pt idx="2">
                  <c:v>0.17721999999999999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19-4427-86E7-4AD00BF40F06}"/>
            </c:ext>
          </c:extLst>
        </c:ser>
        <c:ser>
          <c:idx val="4"/>
          <c:order val="4"/>
          <c:tx>
            <c:v>CLtot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'Teste 1'!$C$36:$C$38</c:f>
              <c:numCache>
                <c:formatCode>General</c:formatCode>
                <c:ptCount val="3"/>
                <c:pt idx="0">
                  <c:v>0.17513000000000001</c:v>
                </c:pt>
                <c:pt idx="1">
                  <c:v>0.17593</c:v>
                </c:pt>
                <c:pt idx="2">
                  <c:v>0.17665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19-4427-86E7-4AD00BF40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767456"/>
        <c:axId val="1184793856"/>
      </c:lineChart>
      <c:catAx>
        <c:axId val="11847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93856"/>
        <c:crosses val="autoZero"/>
        <c:auto val="1"/>
        <c:lblAlgn val="ctr"/>
        <c:lblOffset val="100"/>
        <c:noMultiLvlLbl val="0"/>
      </c:catAx>
      <c:valAx>
        <c:axId val="1184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CLtot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67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Sensibilidade de Alpha para cada variável mantendo CL</a:t>
            </a:r>
            <a:r>
              <a:rPr lang="en-US" baseline="0"/>
              <a:t> dentro da tolerância.</a:t>
            </a:r>
            <a:endParaRPr lang="en-US"/>
          </a:p>
        </c:rich>
      </c:tx>
      <c:layout>
        <c:manualLayout>
          <c:xMode val="edge"/>
          <c:yMode val="edge"/>
          <c:x val="0.12570054069612058"/>
          <c:y val="3.6380164121328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Alpha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'Teste 2'!$B$8:$B$10</c:f>
              <c:numCache>
                <c:formatCode>General</c:formatCode>
                <c:ptCount val="3"/>
                <c:pt idx="0">
                  <c:v>-0.27500000000000002</c:v>
                </c:pt>
                <c:pt idx="1">
                  <c:v>6.2E-2</c:v>
                </c:pt>
                <c:pt idx="2">
                  <c:v>0.438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2-4D0E-AA82-9D3199A77415}"/>
            </c:ext>
          </c:extLst>
        </c:ser>
        <c:ser>
          <c:idx val="1"/>
          <c:order val="1"/>
          <c:tx>
            <c:v>Alpha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'Teste 2'!$B$15:$B$17</c:f>
              <c:numCache>
                <c:formatCode>General</c:formatCode>
                <c:ptCount val="3"/>
                <c:pt idx="0">
                  <c:v>0.3</c:v>
                </c:pt>
                <c:pt idx="1">
                  <c:v>6.2E-2</c:v>
                </c:pt>
                <c:pt idx="2">
                  <c:v>-6.5000000000000002E-2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2-4D0E-AA82-9D3199A77415}"/>
            </c:ext>
          </c:extLst>
        </c:ser>
        <c:ser>
          <c:idx val="2"/>
          <c:order val="2"/>
          <c:tx>
            <c:v>Alpha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'Teste 2'!$B$22:$B$24</c:f>
              <c:numCache>
                <c:formatCode>General</c:formatCode>
                <c:ptCount val="3"/>
                <c:pt idx="0">
                  <c:v>-0.35099999999999998</c:v>
                </c:pt>
                <c:pt idx="1">
                  <c:v>6.2E-2</c:v>
                </c:pt>
                <c:pt idx="2">
                  <c:v>0.45600000000000002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F2-4D0E-AA82-9D3199A77415}"/>
            </c:ext>
          </c:extLst>
        </c:ser>
        <c:ser>
          <c:idx val="3"/>
          <c:order val="3"/>
          <c:tx>
            <c:v>Alpha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'Teste 2'!$B$29:$B$31</c:f>
              <c:numCache>
                <c:formatCode>General</c:formatCode>
                <c:ptCount val="3"/>
                <c:pt idx="0">
                  <c:v>8.2000000000000003E-2</c:v>
                </c:pt>
                <c:pt idx="1">
                  <c:v>6.2E-2</c:v>
                </c:pt>
                <c:pt idx="2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F2-4D0E-AA82-9D3199A77415}"/>
            </c:ext>
          </c:extLst>
        </c:ser>
        <c:ser>
          <c:idx val="4"/>
          <c:order val="4"/>
          <c:tx>
            <c:v>Alpha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'Teste 2'!$B$36:$B$38</c:f>
              <c:numCache>
                <c:formatCode>General</c:formatCode>
                <c:ptCount val="3"/>
                <c:pt idx="0">
                  <c:v>0.81100000000000005</c:v>
                </c:pt>
                <c:pt idx="1">
                  <c:v>6.2E-2</c:v>
                </c:pt>
                <c:pt idx="2">
                  <c:v>-0.60299999999999998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F2-4D0E-AA82-9D3199A77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814496"/>
        <c:axId val="1184819776"/>
      </c:lineChart>
      <c:catAx>
        <c:axId val="118481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819776"/>
        <c:crosses val="autoZero"/>
        <c:auto val="1"/>
        <c:lblAlgn val="ctr"/>
        <c:lblOffset val="100"/>
        <c:noMultiLvlLbl val="0"/>
      </c:catAx>
      <c:valAx>
        <c:axId val="118481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814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Resposta</a:t>
            </a:r>
            <a:r>
              <a:rPr lang="en-US" baseline="0"/>
              <a:t> de L/D com a variação de cada variável.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L/D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'Teste 2'!$G$8:$G$10</c:f>
              <c:numCache>
                <c:formatCode>#,##0.0000</c:formatCode>
                <c:ptCount val="3"/>
                <c:pt idx="0">
                  <c:v>12.855443732845378</c:v>
                </c:pt>
                <c:pt idx="1">
                  <c:v>15.96536412078153</c:v>
                </c:pt>
                <c:pt idx="2">
                  <c:v>19.379101899827287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3-4496-88AE-95F032695950}"/>
            </c:ext>
          </c:extLst>
        </c:ser>
        <c:ser>
          <c:idx val="1"/>
          <c:order val="1"/>
          <c:tx>
            <c:v>L/D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'Teste 2'!$G$15:$G$17</c:f>
              <c:numCache>
                <c:formatCode>#,##0.0000</c:formatCode>
                <c:ptCount val="3"/>
                <c:pt idx="0">
                  <c:v>17.37618636755824</c:v>
                </c:pt>
                <c:pt idx="1">
                  <c:v>15.96536412078153</c:v>
                </c:pt>
                <c:pt idx="2">
                  <c:v>15.179440937781786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3-4496-88AE-95F032695950}"/>
            </c:ext>
          </c:extLst>
        </c:ser>
        <c:ser>
          <c:idx val="2"/>
          <c:order val="2"/>
          <c:tx>
            <c:v>L/D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'Teste 2'!$G$22:$G$24</c:f>
              <c:numCache>
                <c:formatCode>#,##0.0000</c:formatCode>
                <c:ptCount val="3"/>
                <c:pt idx="0">
                  <c:v>15.206866197183096</c:v>
                </c:pt>
                <c:pt idx="1">
                  <c:v>15.372093023255815</c:v>
                </c:pt>
                <c:pt idx="2">
                  <c:v>17.368048533872599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13-4496-88AE-95F032695950}"/>
            </c:ext>
          </c:extLst>
        </c:ser>
        <c:ser>
          <c:idx val="3"/>
          <c:order val="3"/>
          <c:tx>
            <c:v>L/D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'Teste 2'!$G$29:$G$31</c:f>
              <c:numCache>
                <c:formatCode>#,##0.0000</c:formatCode>
                <c:ptCount val="3"/>
                <c:pt idx="0">
                  <c:v>15.598786828422877</c:v>
                </c:pt>
                <c:pt idx="1">
                  <c:v>15.96536412078153</c:v>
                </c:pt>
                <c:pt idx="2">
                  <c:v>16.951977401129945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13-4496-88AE-95F032695950}"/>
            </c:ext>
          </c:extLst>
        </c:ser>
        <c:ser>
          <c:idx val="4"/>
          <c:order val="4"/>
          <c:tx>
            <c:v>L/D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'Teste 2'!$G$36:$G$38</c:f>
              <c:numCache>
                <c:formatCode>#,##0.0000</c:formatCode>
                <c:ptCount val="3"/>
                <c:pt idx="0">
                  <c:v>14.667757774140753</c:v>
                </c:pt>
                <c:pt idx="1">
                  <c:v>15.96536412078153</c:v>
                </c:pt>
                <c:pt idx="2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13-4496-88AE-95F032695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767456"/>
        <c:axId val="1184793856"/>
      </c:lineChart>
      <c:catAx>
        <c:axId val="11847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93856"/>
        <c:crosses val="autoZero"/>
        <c:auto val="1"/>
        <c:lblAlgn val="ctr"/>
        <c:lblOffset val="100"/>
        <c:noMultiLvlLbl val="0"/>
      </c:catAx>
      <c:valAx>
        <c:axId val="1184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67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Resposta</a:t>
            </a:r>
            <a:r>
              <a:rPr lang="en-US" baseline="0"/>
              <a:t> de L com a variação de cada variável.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'Teste 2'!$K$8:$K$10</c:f>
              <c:numCache>
                <c:formatCode>General</c:formatCode>
                <c:ptCount val="3"/>
                <c:pt idx="0">
                  <c:v>4046.3949491837056</c:v>
                </c:pt>
                <c:pt idx="1">
                  <c:v>3882.7508007335146</c:v>
                </c:pt>
                <c:pt idx="2">
                  <c:v>3877.5239792739967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0-4392-8E73-2A6B16AFD8A1}"/>
            </c:ext>
          </c:extLst>
        </c:ser>
        <c:ser>
          <c:idx val="1"/>
          <c:order val="1"/>
          <c:tx>
            <c:v>L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'Teste 2'!$K$15:$K$17</c:f>
              <c:numCache>
                <c:formatCode>General</c:formatCode>
                <c:ptCount val="3"/>
                <c:pt idx="0">
                  <c:v>3879.8330120476267</c:v>
                </c:pt>
                <c:pt idx="1">
                  <c:v>3882.7508007335146</c:v>
                </c:pt>
                <c:pt idx="2">
                  <c:v>4051.0892758745954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0-4392-8E73-2A6B16AFD8A1}"/>
            </c:ext>
          </c:extLst>
        </c:ser>
        <c:ser>
          <c:idx val="2"/>
          <c:order val="2"/>
          <c:tx>
            <c:v>L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'Teste 2'!$K$22:$K$24</c:f>
              <c:numCache>
                <c:formatCode>General</c:formatCode>
                <c:ptCount val="3"/>
                <c:pt idx="0">
                  <c:v>3731.1297815359321</c:v>
                </c:pt>
                <c:pt idx="1">
                  <c:v>3711.9071736889459</c:v>
                </c:pt>
                <c:pt idx="2">
                  <c:v>3709.963314468464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80-4392-8E73-2A6B16AFD8A1}"/>
            </c:ext>
          </c:extLst>
        </c:ser>
        <c:ser>
          <c:idx val="3"/>
          <c:order val="3"/>
          <c:tx>
            <c:v>L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'Teste 2'!$K$29:$K$31</c:f>
              <c:numCache>
                <c:formatCode>General</c:formatCode>
                <c:ptCount val="3"/>
                <c:pt idx="0">
                  <c:v>3887.9344253214658</c:v>
                </c:pt>
                <c:pt idx="1">
                  <c:v>3882.7508007335146</c:v>
                </c:pt>
                <c:pt idx="2">
                  <c:v>3888.3663940371284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80-4392-8E73-2A6B16AFD8A1}"/>
            </c:ext>
          </c:extLst>
        </c:ser>
        <c:ser>
          <c:idx val="4"/>
          <c:order val="4"/>
          <c:tx>
            <c:v>L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'Teste 2'!$K$36:$K$38</c:f>
              <c:numCache>
                <c:formatCode>General</c:formatCode>
                <c:ptCount val="3"/>
                <c:pt idx="0">
                  <c:v>3871.3036297684548</c:v>
                </c:pt>
                <c:pt idx="1">
                  <c:v>3882.7508007335146</c:v>
                </c:pt>
                <c:pt idx="2">
                  <c:v>4059.4260054395286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80-4392-8E73-2A6B16AFD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767456"/>
        <c:axId val="1184793856"/>
      </c:lineChart>
      <c:catAx>
        <c:axId val="11847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93856"/>
        <c:crosses val="autoZero"/>
        <c:auto val="1"/>
        <c:lblAlgn val="ctr"/>
        <c:lblOffset val="100"/>
        <c:noMultiLvlLbl val="0"/>
      </c:catAx>
      <c:valAx>
        <c:axId val="1184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67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Resposta</a:t>
            </a:r>
            <a:r>
              <a:rPr lang="en-US" baseline="0"/>
              <a:t> de CDtot com a variação de cada variável.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CDtot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'Teste 2'!$D$8:$D$10</c:f>
              <c:numCache>
                <c:formatCode>General</c:formatCode>
                <c:ptCount val="3"/>
                <c:pt idx="0">
                  <c:v>1.093E-2</c:v>
                </c:pt>
                <c:pt idx="1">
                  <c:v>1.1259999999999999E-2</c:v>
                </c:pt>
                <c:pt idx="2">
                  <c:v>1.158E-2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9-46F8-B835-63889C68FFB0}"/>
            </c:ext>
          </c:extLst>
        </c:ser>
        <c:ser>
          <c:idx val="1"/>
          <c:order val="1"/>
          <c:tx>
            <c:v>CDtot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'Teste 2'!$D$15:$D$17</c:f>
              <c:numCache>
                <c:formatCode>General</c:formatCode>
                <c:ptCount val="3"/>
                <c:pt idx="0">
                  <c:v>1.159E-2</c:v>
                </c:pt>
                <c:pt idx="1">
                  <c:v>1.1259999999999999E-2</c:v>
                </c:pt>
                <c:pt idx="2">
                  <c:v>1.1089999999999999E-2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B9-46F8-B835-63889C68FFB0}"/>
            </c:ext>
          </c:extLst>
        </c:ser>
        <c:ser>
          <c:idx val="2"/>
          <c:order val="2"/>
          <c:tx>
            <c:v>CDtot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'Teste 2'!$B$22:$B$24</c:f>
              <c:numCache>
                <c:formatCode>General</c:formatCode>
                <c:ptCount val="3"/>
                <c:pt idx="0">
                  <c:v>-0.35099999999999998</c:v>
                </c:pt>
                <c:pt idx="1">
                  <c:v>6.2E-2</c:v>
                </c:pt>
                <c:pt idx="2">
                  <c:v>0.45600000000000002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B9-46F8-B835-63889C68FFB0}"/>
            </c:ext>
          </c:extLst>
        </c:ser>
        <c:ser>
          <c:idx val="3"/>
          <c:order val="3"/>
          <c:tx>
            <c:v>CDtot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'Teste 2'!$D$29:$D$31</c:f>
              <c:numCache>
                <c:formatCode>General</c:formatCode>
                <c:ptCount val="3"/>
                <c:pt idx="0">
                  <c:v>1.154E-2</c:v>
                </c:pt>
                <c:pt idx="1">
                  <c:v>1.1259999999999999E-2</c:v>
                </c:pt>
                <c:pt idx="2">
                  <c:v>1.0619999999999999E-2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B9-46F8-B835-63889C68FFB0}"/>
            </c:ext>
          </c:extLst>
        </c:ser>
        <c:ser>
          <c:idx val="4"/>
          <c:order val="4"/>
          <c:tx>
            <c:v>CDtot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'Teste 2'!$D$36:$D$38</c:f>
              <c:numCache>
                <c:formatCode>General</c:formatCode>
                <c:ptCount val="3"/>
                <c:pt idx="0">
                  <c:v>1.222E-2</c:v>
                </c:pt>
                <c:pt idx="1">
                  <c:v>1.1259999999999999E-2</c:v>
                </c:pt>
                <c:pt idx="2">
                  <c:v>1.074E-2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B9-46F8-B835-63889C68F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767456"/>
        <c:axId val="1184793856"/>
      </c:lineChart>
      <c:catAx>
        <c:axId val="11847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93856"/>
        <c:crosses val="autoZero"/>
        <c:auto val="1"/>
        <c:lblAlgn val="ctr"/>
        <c:lblOffset val="100"/>
        <c:noMultiLvlLbl val="0"/>
      </c:catAx>
      <c:valAx>
        <c:axId val="1184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CDtot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67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Resposta</a:t>
            </a:r>
            <a:r>
              <a:rPr lang="en-US" baseline="0"/>
              <a:t> de CLtot com a variação de cada variável.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CLtot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'Teste 2'!$C$8:$C$10</c:f>
              <c:numCache>
                <c:formatCode>General</c:formatCode>
                <c:ptCount val="3"/>
                <c:pt idx="0">
                  <c:v>0.14051</c:v>
                </c:pt>
                <c:pt idx="1">
                  <c:v>0.17977000000000001</c:v>
                </c:pt>
                <c:pt idx="2">
                  <c:v>0.22441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39-4B6F-8C05-17E726AD76FE}"/>
            </c:ext>
          </c:extLst>
        </c:ser>
        <c:ser>
          <c:idx val="1"/>
          <c:order val="1"/>
          <c:tx>
            <c:v>CLtot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'Teste 2'!$C$15:$C$17</c:f>
              <c:numCache>
                <c:formatCode>General</c:formatCode>
                <c:ptCount val="3"/>
                <c:pt idx="0">
                  <c:v>0.20139000000000001</c:v>
                </c:pt>
                <c:pt idx="1">
                  <c:v>0.17977000000000001</c:v>
                </c:pt>
                <c:pt idx="2">
                  <c:v>0.16833999999999999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9-4B6F-8C05-17E726AD76FE}"/>
            </c:ext>
          </c:extLst>
        </c:ser>
        <c:ser>
          <c:idx val="2"/>
          <c:order val="2"/>
          <c:tx>
            <c:v>CLtot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'Teste 2'!$C$22:$C$24</c:f>
              <c:numCache>
                <c:formatCode>General</c:formatCode>
                <c:ptCount val="3"/>
                <c:pt idx="0">
                  <c:v>0.17274999999999999</c:v>
                </c:pt>
                <c:pt idx="1">
                  <c:v>0.17186000000000001</c:v>
                </c:pt>
                <c:pt idx="2">
                  <c:v>0.17177000000000001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39-4B6F-8C05-17E726AD76FE}"/>
            </c:ext>
          </c:extLst>
        </c:ser>
        <c:ser>
          <c:idx val="3"/>
          <c:order val="3"/>
          <c:tx>
            <c:v>CLtot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'Teste 2'!$C$29:$C$31</c:f>
              <c:numCache>
                <c:formatCode>General</c:formatCode>
                <c:ptCount val="3"/>
                <c:pt idx="0">
                  <c:v>0.18001</c:v>
                </c:pt>
                <c:pt idx="1">
                  <c:v>0.17977000000000001</c:v>
                </c:pt>
                <c:pt idx="2">
                  <c:v>0.18003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39-4B6F-8C05-17E726AD76FE}"/>
            </c:ext>
          </c:extLst>
        </c:ser>
        <c:ser>
          <c:idx val="4"/>
          <c:order val="4"/>
          <c:tx>
            <c:v>CLtot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'Teste 2'!$C$36:$C$38</c:f>
              <c:numCache>
                <c:formatCode>General</c:formatCode>
                <c:ptCount val="3"/>
                <c:pt idx="0">
                  <c:v>0.17924000000000001</c:v>
                </c:pt>
                <c:pt idx="1">
                  <c:v>0.17977000000000001</c:v>
                </c:pt>
                <c:pt idx="2">
                  <c:v>0.18795000000000001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39-4B6F-8C05-17E726AD7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767456"/>
        <c:axId val="1184793856"/>
      </c:lineChart>
      <c:catAx>
        <c:axId val="11847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93856"/>
        <c:crosses val="autoZero"/>
        <c:auto val="1"/>
        <c:lblAlgn val="ctr"/>
        <c:lblOffset val="100"/>
        <c:noMultiLvlLbl val="0"/>
      </c:catAx>
      <c:valAx>
        <c:axId val="1184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CLtot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67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CDi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'CDi x V'!$F$3:$F$14</c:f>
              <c:numCache>
                <c:formatCode>General</c:formatCode>
                <c:ptCount val="12"/>
                <c:pt idx="0">
                  <c:v>107.80000000000001</c:v>
                </c:pt>
                <c:pt idx="1">
                  <c:v>161.69999999999999</c:v>
                </c:pt>
                <c:pt idx="2">
                  <c:v>215.60000000000002</c:v>
                </c:pt>
                <c:pt idx="3">
                  <c:v>269.5</c:v>
                </c:pt>
                <c:pt idx="4">
                  <c:v>323.39999999999998</c:v>
                </c:pt>
                <c:pt idx="5">
                  <c:v>377.29999999999995</c:v>
                </c:pt>
                <c:pt idx="6">
                  <c:v>431.20000000000005</c:v>
                </c:pt>
                <c:pt idx="7">
                  <c:v>485.1</c:v>
                </c:pt>
                <c:pt idx="8">
                  <c:v>539</c:v>
                </c:pt>
                <c:pt idx="9">
                  <c:v>592.90000000000009</c:v>
                </c:pt>
                <c:pt idx="10">
                  <c:v>646.79999999999995</c:v>
                </c:pt>
                <c:pt idx="11">
                  <c:v>700.7</c:v>
                </c:pt>
              </c:numCache>
            </c:numRef>
          </c:cat>
          <c:val>
            <c:numRef>
              <c:f>'CDi x V'!$B$3:$B$14</c:f>
              <c:numCache>
                <c:formatCode>General</c:formatCode>
                <c:ptCount val="12"/>
                <c:pt idx="0">
                  <c:v>443.63388873905637</c:v>
                </c:pt>
                <c:pt idx="1">
                  <c:v>197.17061721735843</c:v>
                </c:pt>
                <c:pt idx="2">
                  <c:v>110.90847218476409</c:v>
                </c:pt>
                <c:pt idx="3">
                  <c:v>70.981422198249035</c:v>
                </c:pt>
                <c:pt idx="4">
                  <c:v>49.292654304339607</c:v>
                </c:pt>
                <c:pt idx="5">
                  <c:v>36.215011325637271</c:v>
                </c:pt>
                <c:pt idx="6">
                  <c:v>27.727118046191023</c:v>
                </c:pt>
                <c:pt idx="7">
                  <c:v>21.907846357484264</c:v>
                </c:pt>
                <c:pt idx="8">
                  <c:v>17.745355549562259</c:v>
                </c:pt>
                <c:pt idx="9">
                  <c:v>14.66558309881178</c:v>
                </c:pt>
                <c:pt idx="10">
                  <c:v>12.323163576084902</c:v>
                </c:pt>
                <c:pt idx="11">
                  <c:v>10.500210384356365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F6-4B21-83F0-8D8AB748A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103488"/>
        <c:axId val="1746104448"/>
      </c:lineChart>
      <c:catAx>
        <c:axId val="174610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04448"/>
        <c:crosses val="autoZero"/>
        <c:auto val="1"/>
        <c:lblAlgn val="ctr"/>
        <c:lblOffset val="100"/>
        <c:noMultiLvlLbl val="0"/>
      </c:catAx>
      <c:valAx>
        <c:axId val="174610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0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8.xml"/><Relationship Id="rId7" Type="http://schemas.openxmlformats.org/officeDocument/2006/relationships/chart" Target="../charts/chart9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10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1.xml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291465</xdr:colOff>
      <xdr:row>16</xdr:row>
      <xdr:rowOff>77151</xdr:rowOff>
    </xdr:from>
    <xdr:to>
      <xdr:col>26</xdr:col>
      <xdr:colOff>320041</xdr:colOff>
      <xdr:row>36</xdr:row>
      <xdr:rowOff>81915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6B22D-FC41-EAD1-DA12-B4EFAE83B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54832</xdr:colOff>
      <xdr:row>39</xdr:row>
      <xdr:rowOff>91977</xdr:rowOff>
    </xdr:from>
    <xdr:to>
      <xdr:col>32</xdr:col>
      <xdr:colOff>47213</xdr:colOff>
      <xdr:row>58</xdr:row>
      <xdr:rowOff>60548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06E3BB-B14C-6728-F7FB-74BB8B279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61628</xdr:colOff>
      <xdr:row>60</xdr:row>
      <xdr:rowOff>24662</xdr:rowOff>
    </xdr:from>
    <xdr:to>
      <xdr:col>32</xdr:col>
      <xdr:colOff>61629</xdr:colOff>
      <xdr:row>78</xdr:row>
      <xdr:rowOff>178585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79E4BE-DE6C-4873-9974-B425096A1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175260</xdr:colOff>
      <xdr:row>0</xdr:row>
      <xdr:rowOff>97155</xdr:rowOff>
    </xdr:from>
    <xdr:to>
      <xdr:col>6</xdr:col>
      <xdr:colOff>129750</xdr:colOff>
      <xdr:row>3</xdr:row>
      <xdr:rowOff>163915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CD1975-CF49-444E-CB5B-6A02604D0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4640" y="97155"/>
          <a:ext cx="1505160" cy="613495"/>
        </a:xfrm>
        <a:prstGeom prst="rect">
          <a:avLst/>
        </a:prstGeom>
      </xdr:spPr>
    </xdr:pic>
    <xdr:clientData/>
  </xdr:twoCellAnchor>
  <xdr:twoCellAnchor editAs="oneCell">
    <xdr:from>
      <xdr:col>11</xdr:col>
      <xdr:colOff>358140</xdr:colOff>
      <xdr:row>1</xdr:row>
      <xdr:rowOff>54450</xdr:rowOff>
    </xdr:from>
    <xdr:to>
      <xdr:col>17</xdr:col>
      <xdr:colOff>515025</xdr:colOff>
      <xdr:row>14</xdr:row>
      <xdr:rowOff>74719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383C25-30C7-774B-F6BE-3689C5945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0" y="237330"/>
          <a:ext cx="3818295" cy="2397709"/>
        </a:xfrm>
        <a:prstGeom prst="rect">
          <a:avLst/>
        </a:prstGeom>
      </xdr:spPr>
    </xdr:pic>
    <xdr:clientData/>
  </xdr:twoCellAnchor>
  <xdr:twoCellAnchor editAs="oneCell">
    <xdr:from>
      <xdr:col>6</xdr:col>
      <xdr:colOff>426720</xdr:colOff>
      <xdr:row>0</xdr:row>
      <xdr:rowOff>129540</xdr:rowOff>
    </xdr:from>
    <xdr:to>
      <xdr:col>10</xdr:col>
      <xdr:colOff>558524</xdr:colOff>
      <xdr:row>4</xdr:row>
      <xdr:rowOff>21041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0B9B337-FC17-A914-FFFB-836AF2A60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40580" y="129540"/>
          <a:ext cx="2572109" cy="619211"/>
        </a:xfrm>
        <a:prstGeom prst="rect">
          <a:avLst/>
        </a:prstGeom>
      </xdr:spPr>
    </xdr:pic>
    <xdr:clientData/>
  </xdr:twoCellAnchor>
  <xdr:twoCellAnchor>
    <xdr:from>
      <xdr:col>0</xdr:col>
      <xdr:colOff>422191</xdr:colOff>
      <xdr:row>41</xdr:row>
      <xdr:rowOff>10298</xdr:rowOff>
    </xdr:from>
    <xdr:to>
      <xdr:col>14</xdr:col>
      <xdr:colOff>463381</xdr:colOff>
      <xdr:row>59</xdr:row>
      <xdr:rowOff>164220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9A97E1-0A5A-450F-899E-93064CE5D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442784</xdr:colOff>
      <xdr:row>62</xdr:row>
      <xdr:rowOff>0</xdr:rowOff>
    </xdr:from>
    <xdr:to>
      <xdr:col>14</xdr:col>
      <xdr:colOff>483974</xdr:colOff>
      <xdr:row>80</xdr:row>
      <xdr:rowOff>153923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534B714-6154-4808-84FE-13BB0CDDD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16</xdr:row>
      <xdr:rowOff>951</xdr:rowOff>
    </xdr:from>
    <xdr:to>
      <xdr:col>21</xdr:col>
      <xdr:colOff>19050</xdr:colOff>
      <xdr:row>31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81A2F-071E-46E0-9973-986873078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12922</xdr:colOff>
      <xdr:row>16</xdr:row>
      <xdr:rowOff>2442</xdr:rowOff>
    </xdr:from>
    <xdr:to>
      <xdr:col>29</xdr:col>
      <xdr:colOff>28575</xdr:colOff>
      <xdr:row>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DC96E0-F288-40D8-BE99-E3D3642E9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61628</xdr:colOff>
      <xdr:row>60</xdr:row>
      <xdr:rowOff>24662</xdr:rowOff>
    </xdr:from>
    <xdr:to>
      <xdr:col>34</xdr:col>
      <xdr:colOff>61629</xdr:colOff>
      <xdr:row>78</xdr:row>
      <xdr:rowOff>178585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F9AAB7-5C92-4184-B631-B5CA4C470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154305</xdr:colOff>
      <xdr:row>5</xdr:row>
      <xdr:rowOff>161925</xdr:rowOff>
    </xdr:from>
    <xdr:to>
      <xdr:col>22</xdr:col>
      <xdr:colOff>440265</xdr:colOff>
      <xdr:row>9</xdr:row>
      <xdr:rowOff>72475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FF7615-40FE-439D-AF2D-79695F81B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89155" y="1066800"/>
          <a:ext cx="1514685" cy="634450"/>
        </a:xfrm>
        <a:prstGeom prst="rect">
          <a:avLst/>
        </a:prstGeom>
      </xdr:spPr>
    </xdr:pic>
    <xdr:clientData/>
  </xdr:twoCellAnchor>
  <xdr:twoCellAnchor editAs="oneCell">
    <xdr:from>
      <xdr:col>13</xdr:col>
      <xdr:colOff>358140</xdr:colOff>
      <xdr:row>1</xdr:row>
      <xdr:rowOff>54450</xdr:rowOff>
    </xdr:from>
    <xdr:to>
      <xdr:col>19</xdr:col>
      <xdr:colOff>515025</xdr:colOff>
      <xdr:row>14</xdr:row>
      <xdr:rowOff>74719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04CCD6-844A-4CEE-AFFE-C08CC678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0" y="239235"/>
          <a:ext cx="3806865" cy="2369134"/>
        </a:xfrm>
        <a:prstGeom prst="rect">
          <a:avLst/>
        </a:prstGeom>
      </xdr:spPr>
    </xdr:pic>
    <xdr:clientData/>
  </xdr:twoCellAnchor>
  <xdr:twoCellAnchor editAs="oneCell">
    <xdr:from>
      <xdr:col>20</xdr:col>
      <xdr:colOff>161925</xdr:colOff>
      <xdr:row>1</xdr:row>
      <xdr:rowOff>133350</xdr:rowOff>
    </xdr:from>
    <xdr:to>
      <xdr:col>24</xdr:col>
      <xdr:colOff>286109</xdr:colOff>
      <xdr:row>5</xdr:row>
      <xdr:rowOff>17231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80DF21-21A8-4010-8B15-7E6B9BFC5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96775" y="314325"/>
          <a:ext cx="2551154" cy="607781"/>
        </a:xfrm>
        <a:prstGeom prst="rect">
          <a:avLst/>
        </a:prstGeom>
      </xdr:spPr>
    </xdr:pic>
    <xdr:clientData/>
  </xdr:twoCellAnchor>
  <xdr:twoCellAnchor>
    <xdr:from>
      <xdr:col>3</xdr:col>
      <xdr:colOff>190300</xdr:colOff>
      <xdr:row>39</xdr:row>
      <xdr:rowOff>22767</xdr:rowOff>
    </xdr:from>
    <xdr:to>
      <xdr:col>12</xdr:col>
      <xdr:colOff>682682</xdr:colOff>
      <xdr:row>52</xdr:row>
      <xdr:rowOff>56284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6D5F4A-09F3-46E4-AC11-B84759A21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606615</xdr:colOff>
      <xdr:row>15</xdr:row>
      <xdr:rowOff>171451</xdr:rowOff>
    </xdr:from>
    <xdr:to>
      <xdr:col>36</xdr:col>
      <xdr:colOff>592668</xdr:colOff>
      <xdr:row>31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1DF01C-3EFF-4960-B991-F39958061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20</xdr:col>
      <xdr:colOff>152400</xdr:colOff>
      <xdr:row>10</xdr:row>
      <xdr:rowOff>66675</xdr:rowOff>
    </xdr:from>
    <xdr:to>
      <xdr:col>22</xdr:col>
      <xdr:colOff>325950</xdr:colOff>
      <xdr:row>13</xdr:row>
      <xdr:rowOff>57223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3A61BB0-12D4-E62A-7B29-715D6D4F4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01550" y="1876425"/>
          <a:ext cx="1398465" cy="525853"/>
        </a:xfrm>
        <a:prstGeom prst="rect">
          <a:avLst/>
        </a:prstGeom>
      </xdr:spPr>
    </xdr:pic>
    <xdr:clientData/>
  </xdr:twoCellAnchor>
  <xdr:twoCellAnchor editAs="oneCell">
    <xdr:from>
      <xdr:col>23</xdr:col>
      <xdr:colOff>142875</xdr:colOff>
      <xdr:row>7</xdr:row>
      <xdr:rowOff>85725</xdr:rowOff>
    </xdr:from>
    <xdr:to>
      <xdr:col>27</xdr:col>
      <xdr:colOff>17469</xdr:colOff>
      <xdr:row>12</xdr:row>
      <xdr:rowOff>21073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C423E3-A8FB-0C89-93E7-DB275BEDD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220825" y="1352550"/>
          <a:ext cx="2324424" cy="8497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13</xdr:col>
      <xdr:colOff>167833</xdr:colOff>
      <xdr:row>7</xdr:row>
      <xdr:rowOff>15369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5E65B0-8096-3057-52A9-284CAF566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3720" y="365760"/>
          <a:ext cx="1381318" cy="924054"/>
        </a:xfrm>
        <a:prstGeom prst="rect">
          <a:avLst/>
        </a:prstGeom>
      </xdr:spPr>
    </xdr:pic>
    <xdr:clientData/>
  </xdr:twoCellAnchor>
  <xdr:twoCellAnchor>
    <xdr:from>
      <xdr:col>13</xdr:col>
      <xdr:colOff>274320</xdr:colOff>
      <xdr:row>1</xdr:row>
      <xdr:rowOff>140970</xdr:rowOff>
    </xdr:from>
    <xdr:to>
      <xdr:col>20</xdr:col>
      <xdr:colOff>579120</xdr:colOff>
      <xdr:row>16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251C5E-FDE3-C13B-0E2E-DEE24BE49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123825</xdr:colOff>
      <xdr:row>18</xdr:row>
      <xdr:rowOff>85725</xdr:rowOff>
    </xdr:from>
    <xdr:to>
      <xdr:col>14</xdr:col>
      <xdr:colOff>141144</xdr:colOff>
      <xdr:row>21</xdr:row>
      <xdr:rowOff>55318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DF673F-0792-71C0-3773-8FDF01B8D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3343275"/>
          <a:ext cx="1240329" cy="512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1CC2-36A2-41D2-A309-AA5C8755A6C3}">
  <dimension ref="A1:M65"/>
  <sheetViews>
    <sheetView topLeftCell="A8" zoomScale="74" zoomScaleNormal="74" workbookViewId="0">
      <selection activeCell="A20" sqref="A20:K20"/>
    </sheetView>
  </sheetViews>
  <sheetFormatPr defaultRowHeight="14.4" x14ac:dyDescent="0.3"/>
  <cols>
    <col min="1" max="2" width="8.88671875" style="1"/>
    <col min="3" max="3" width="12.109375" style="1" customWidth="1"/>
    <col min="4" max="4" width="8.88671875" style="1"/>
    <col min="5" max="5" width="13.77734375" style="1" bestFit="1" customWidth="1"/>
    <col min="6" max="16384" width="8.88671875" style="1"/>
  </cols>
  <sheetData>
    <row r="1" spans="1:13" x14ac:dyDescent="0.3">
      <c r="A1" s="8" t="s">
        <v>4</v>
      </c>
      <c r="B1" s="8"/>
      <c r="C1" s="8"/>
      <c r="D1" s="8"/>
      <c r="G1"/>
      <c r="H1"/>
      <c r="I1"/>
      <c r="J1"/>
      <c r="K1"/>
      <c r="L1"/>
      <c r="M1"/>
    </row>
    <row r="2" spans="1:13" x14ac:dyDescent="0.3">
      <c r="A2" s="2" t="s">
        <v>1</v>
      </c>
      <c r="B2" s="2" t="s">
        <v>2</v>
      </c>
      <c r="C2" s="2" t="s">
        <v>0</v>
      </c>
      <c r="D2" s="2" t="s">
        <v>3</v>
      </c>
    </row>
    <row r="3" spans="1:13" x14ac:dyDescent="0.3">
      <c r="A3" s="2">
        <v>0.38590999999999998</v>
      </c>
      <c r="B3" s="2">
        <v>1.4160000000000001E-2</v>
      </c>
      <c r="C3" s="3">
        <v>27.382000000000001</v>
      </c>
      <c r="D3" s="2">
        <v>2</v>
      </c>
    </row>
    <row r="6" spans="1:13" x14ac:dyDescent="0.3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3" x14ac:dyDescent="0.3">
      <c r="A7" s="2" t="s">
        <v>6</v>
      </c>
      <c r="B7" s="2" t="s">
        <v>3</v>
      </c>
      <c r="C7" s="2" t="s">
        <v>1</v>
      </c>
      <c r="D7" s="2" t="s">
        <v>2</v>
      </c>
      <c r="E7" s="2" t="s">
        <v>0</v>
      </c>
      <c r="F7" s="2" t="s">
        <v>15</v>
      </c>
      <c r="G7" s="2" t="s">
        <v>20</v>
      </c>
      <c r="H7" s="2" t="s">
        <v>19</v>
      </c>
      <c r="I7" s="2" t="s">
        <v>18</v>
      </c>
      <c r="J7" s="2" t="s">
        <v>17</v>
      </c>
      <c r="K7" s="2" t="s">
        <v>16</v>
      </c>
    </row>
    <row r="8" spans="1:13" x14ac:dyDescent="0.3">
      <c r="A8" s="2">
        <v>6</v>
      </c>
      <c r="B8" s="2">
        <v>0.2</v>
      </c>
      <c r="C8" s="2">
        <v>0.21542</v>
      </c>
      <c r="D8" s="2">
        <v>8.8199999999999997E-3</v>
      </c>
      <c r="E8" s="4">
        <f>C8/D8</f>
        <v>24.424036281179138</v>
      </c>
      <c r="F8" s="2">
        <v>2.3768999999999999E-3</v>
      </c>
      <c r="G8" s="2">
        <f>335*335</f>
        <v>112225</v>
      </c>
      <c r="H8" s="2">
        <v>138.09</v>
      </c>
      <c r="I8" s="2">
        <f>0.5*F8*G8*H8*C8</f>
        <v>3967.5168531918239</v>
      </c>
      <c r="J8" s="2">
        <v>3969.6</v>
      </c>
      <c r="K8" s="2">
        <f>((I8-J8)/J8)*100</f>
        <v>-5.2477499198307756E-2</v>
      </c>
    </row>
    <row r="9" spans="1:13" x14ac:dyDescent="0.3">
      <c r="A9" s="2">
        <v>8</v>
      </c>
      <c r="B9" s="2">
        <v>-0.5</v>
      </c>
      <c r="C9" s="2">
        <v>0.16955000000000001</v>
      </c>
      <c r="D9" s="2">
        <v>7.1199999999999996E-3</v>
      </c>
      <c r="E9" s="4">
        <f t="shared" ref="E9:E10" si="0">C9/D9</f>
        <v>23.813202247191015</v>
      </c>
      <c r="F9" s="2">
        <v>2.3768999999999999E-3</v>
      </c>
      <c r="G9" s="2">
        <f t="shared" ref="G9:G10" si="1">335*335</f>
        <v>112225</v>
      </c>
      <c r="H9" s="2">
        <v>184.12</v>
      </c>
      <c r="I9" s="2">
        <f t="shared" ref="I9:I10" si="2">0.5*F9*G9*H9*C9</f>
        <v>4163.6027757167321</v>
      </c>
      <c r="J9" s="2">
        <v>3969.6</v>
      </c>
      <c r="K9" s="2">
        <f>((I9-J9)/J9)*100</f>
        <v>4.8872122056814851</v>
      </c>
    </row>
    <row r="10" spans="1:13" x14ac:dyDescent="0.3">
      <c r="A10" s="2">
        <v>10</v>
      </c>
      <c r="B10" s="2">
        <v>-1</v>
      </c>
      <c r="C10" s="2">
        <v>0.12984000000000001</v>
      </c>
      <c r="D10" s="2">
        <v>6.3400000000000001E-3</v>
      </c>
      <c r="E10" s="4">
        <f t="shared" si="0"/>
        <v>20.479495268138802</v>
      </c>
      <c r="F10" s="2">
        <v>2.3768999999999999E-3</v>
      </c>
      <c r="G10" s="2">
        <f t="shared" si="1"/>
        <v>112225</v>
      </c>
      <c r="H10" s="2">
        <v>230.15</v>
      </c>
      <c r="I10" s="2">
        <f t="shared" si="2"/>
        <v>3985.566089642145</v>
      </c>
      <c r="J10" s="2">
        <v>3969.6</v>
      </c>
      <c r="K10" s="2">
        <f>((I10-J10)/J10)*100</f>
        <v>0.40220902967918959</v>
      </c>
    </row>
    <row r="13" spans="1:13" x14ac:dyDescent="0.3">
      <c r="A13" s="8" t="s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3" x14ac:dyDescent="0.3">
      <c r="A14" s="2" t="s">
        <v>7</v>
      </c>
      <c r="B14" s="2" t="s">
        <v>3</v>
      </c>
      <c r="C14" s="2" t="s">
        <v>1</v>
      </c>
      <c r="D14" s="2" t="s">
        <v>2</v>
      </c>
      <c r="E14" s="2" t="s">
        <v>0</v>
      </c>
      <c r="F14" s="2" t="s">
        <v>15</v>
      </c>
      <c r="G14" s="2" t="s">
        <v>20</v>
      </c>
      <c r="H14" s="2" t="s">
        <v>19</v>
      </c>
      <c r="I14" s="2" t="s">
        <v>18</v>
      </c>
      <c r="J14" s="2" t="s">
        <v>17</v>
      </c>
      <c r="K14" s="2" t="s">
        <v>16</v>
      </c>
    </row>
    <row r="15" spans="1:13" x14ac:dyDescent="0.3">
      <c r="A15" s="2">
        <v>34</v>
      </c>
      <c r="B15" s="2">
        <v>-0.2</v>
      </c>
      <c r="C15" s="2">
        <v>0.19095000000000001</v>
      </c>
      <c r="D15" s="2">
        <v>7.7799999999999996E-3</v>
      </c>
      <c r="E15" s="4">
        <f>C15/D15</f>
        <v>24.543701799485863</v>
      </c>
      <c r="F15" s="2">
        <v>2.3768999999999999E-3</v>
      </c>
      <c r="G15" s="2">
        <f>335*335</f>
        <v>112225</v>
      </c>
      <c r="H15" s="2">
        <v>163.11000000000001</v>
      </c>
      <c r="I15" s="2">
        <f>0.5*F15*G15*H15*C15</f>
        <v>4154.0410078444183</v>
      </c>
      <c r="J15" s="2">
        <v>3969.6</v>
      </c>
      <c r="K15" s="2">
        <f>((I15-J15)/J15)*100</f>
        <v>4.6463373600468172</v>
      </c>
    </row>
    <row r="16" spans="1:13" x14ac:dyDescent="0.3">
      <c r="A16" s="2">
        <v>36</v>
      </c>
      <c r="B16" s="2">
        <v>-0.4</v>
      </c>
      <c r="C16" s="2">
        <v>0.17593</v>
      </c>
      <c r="D16" s="2">
        <v>7.2899999999999996E-3</v>
      </c>
      <c r="E16" s="4">
        <f t="shared" ref="E16:E17" si="3">C16/D16</f>
        <v>24.133058984910839</v>
      </c>
      <c r="F16" s="2">
        <v>2.3768999999999999E-3</v>
      </c>
      <c r="G16" s="2">
        <f t="shared" ref="G16:G17" si="4">335*335</f>
        <v>112225</v>
      </c>
      <c r="H16" s="2">
        <v>172.7</v>
      </c>
      <c r="I16" s="2">
        <f t="shared" ref="I16" si="5">0.5*F16*G16*H16*C16</f>
        <v>4052.3110078706882</v>
      </c>
      <c r="J16" s="2">
        <v>3969.6</v>
      </c>
      <c r="K16" s="2">
        <f>((I16-J16)/J16)*100</f>
        <v>2.0836106376130656</v>
      </c>
    </row>
    <row r="17" spans="1:11" x14ac:dyDescent="0.3">
      <c r="A17" s="2">
        <v>38</v>
      </c>
      <c r="B17" s="2">
        <v>-0.6</v>
      </c>
      <c r="C17" s="2">
        <v>0.1603</v>
      </c>
      <c r="D17" s="2">
        <v>6.9899999999999997E-3</v>
      </c>
      <c r="E17" s="4">
        <f t="shared" si="3"/>
        <v>22.932761087267526</v>
      </c>
      <c r="F17" s="2">
        <v>2.3768999999999999E-3</v>
      </c>
      <c r="G17" s="2">
        <f t="shared" si="4"/>
        <v>112225</v>
      </c>
      <c r="H17" s="2">
        <v>182.3</v>
      </c>
      <c r="I17" s="2">
        <f>0.5*F17*G17*H17*C17</f>
        <v>3897.5412480503619</v>
      </c>
      <c r="J17" s="2">
        <v>3969.6</v>
      </c>
      <c r="K17" s="2">
        <f>((I17-J17)/J17)*100</f>
        <v>-1.8152648113068826</v>
      </c>
    </row>
    <row r="20" spans="1:11" x14ac:dyDescent="0.3">
      <c r="A20" s="8" t="s">
        <v>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3">
      <c r="A21" s="2" t="s">
        <v>10</v>
      </c>
      <c r="B21" s="2" t="s">
        <v>3</v>
      </c>
      <c r="C21" s="2" t="s">
        <v>1</v>
      </c>
      <c r="D21" s="2" t="s">
        <v>2</v>
      </c>
      <c r="E21" s="2" t="s">
        <v>0</v>
      </c>
      <c r="F21" s="2" t="s">
        <v>15</v>
      </c>
      <c r="G21" s="2" t="s">
        <v>20</v>
      </c>
      <c r="H21" s="2" t="s">
        <v>19</v>
      </c>
      <c r="I21" s="2" t="s">
        <v>18</v>
      </c>
      <c r="J21" s="2" t="s">
        <v>17</v>
      </c>
      <c r="K21" s="2" t="s">
        <v>16</v>
      </c>
    </row>
    <row r="22" spans="1:11" x14ac:dyDescent="0.3">
      <c r="A22" s="2">
        <v>0.5</v>
      </c>
      <c r="B22" s="2">
        <v>-0.6</v>
      </c>
      <c r="C22" s="2">
        <v>0.23039000000000001</v>
      </c>
      <c r="D22" s="2">
        <v>7.6299999999999996E-3</v>
      </c>
      <c r="E22" s="4">
        <f>C22/D22</f>
        <v>30.19528178243775</v>
      </c>
      <c r="F22" s="2">
        <v>2.3768999999999999E-3</v>
      </c>
      <c r="G22" s="2">
        <f>335*335</f>
        <v>112225</v>
      </c>
      <c r="H22" s="2">
        <v>128.6</v>
      </c>
      <c r="I22" s="2">
        <f>0.5*F22*G22*H22*C22</f>
        <v>3951.6195230003923</v>
      </c>
      <c r="J22" s="2">
        <v>3969.6</v>
      </c>
      <c r="K22" s="2">
        <f>((I22-J22)/J22)*100</f>
        <v>-0.45295437826500451</v>
      </c>
    </row>
    <row r="23" spans="1:11" x14ac:dyDescent="0.3">
      <c r="A23" s="2">
        <v>0.75</v>
      </c>
      <c r="B23" s="2">
        <v>-0.5</v>
      </c>
      <c r="C23" s="2">
        <v>0.19947999999999999</v>
      </c>
      <c r="D23" s="2">
        <v>7.9799999999999992E-3</v>
      </c>
      <c r="E23" s="4">
        <f t="shared" ref="E23:E24" si="6">C23/D23</f>
        <v>24.997493734335841</v>
      </c>
      <c r="F23" s="2">
        <v>2.3768999999999999E-3</v>
      </c>
      <c r="G23" s="2">
        <f t="shared" ref="G23:G24" si="7">335*335</f>
        <v>112225</v>
      </c>
      <c r="H23" s="2">
        <v>150.05000000000001</v>
      </c>
      <c r="I23" s="2">
        <f t="shared" ref="I23:I24" si="8">0.5*F23*G23*H23*C23</f>
        <v>3992.1411512961672</v>
      </c>
      <c r="J23" s="2">
        <v>3969.6</v>
      </c>
      <c r="K23" s="2">
        <f>((I23-J23)/J23)*100</f>
        <v>0.56784439984298929</v>
      </c>
    </row>
    <row r="24" spans="1:11" x14ac:dyDescent="0.3">
      <c r="A24" s="2">
        <v>1</v>
      </c>
      <c r="B24" s="2">
        <v>-0.4</v>
      </c>
      <c r="C24" s="2">
        <v>0.17593</v>
      </c>
      <c r="D24" s="2">
        <v>7.2899999999999996E-3</v>
      </c>
      <c r="E24" s="4">
        <f t="shared" si="6"/>
        <v>24.133058984910839</v>
      </c>
      <c r="F24" s="2">
        <v>2.3768999999999999E-3</v>
      </c>
      <c r="G24" s="2">
        <f t="shared" si="7"/>
        <v>112225</v>
      </c>
      <c r="H24" s="2">
        <v>172.7</v>
      </c>
      <c r="I24" s="2">
        <f t="shared" si="8"/>
        <v>4052.3110078706882</v>
      </c>
      <c r="J24" s="2">
        <v>3969.6</v>
      </c>
      <c r="K24" s="2">
        <f>((I24-J24)/J24)*100</f>
        <v>2.0836106376130656</v>
      </c>
    </row>
    <row r="27" spans="1:11" x14ac:dyDescent="0.3">
      <c r="A27" s="8" t="s">
        <v>11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3">
      <c r="A28" s="2" t="s">
        <v>12</v>
      </c>
      <c r="B28" s="2" t="s">
        <v>3</v>
      </c>
      <c r="C28" s="2" t="s">
        <v>1</v>
      </c>
      <c r="D28" s="2" t="s">
        <v>2</v>
      </c>
      <c r="E28" s="2" t="s">
        <v>0</v>
      </c>
      <c r="F28" s="2" t="s">
        <v>15</v>
      </c>
      <c r="G28" s="2" t="s">
        <v>20</v>
      </c>
      <c r="H28" s="2" t="s">
        <v>19</v>
      </c>
      <c r="I28" s="2" t="s">
        <v>18</v>
      </c>
      <c r="J28" s="2" t="s">
        <v>17</v>
      </c>
      <c r="K28" s="2" t="s">
        <v>16</v>
      </c>
    </row>
    <row r="29" spans="1:11" x14ac:dyDescent="0.3">
      <c r="A29" s="2">
        <v>0</v>
      </c>
      <c r="B29" s="2">
        <v>-0.4</v>
      </c>
      <c r="C29" s="2">
        <v>0.17593</v>
      </c>
      <c r="D29" s="2">
        <v>7.2899999999999996E-3</v>
      </c>
      <c r="E29" s="4">
        <f>C29/D29</f>
        <v>24.133058984910839</v>
      </c>
      <c r="F29" s="2">
        <v>2.3768999999999999E-3</v>
      </c>
      <c r="G29" s="2">
        <f>335*335</f>
        <v>112225</v>
      </c>
      <c r="H29" s="2">
        <v>172.7</v>
      </c>
      <c r="I29" s="2">
        <f t="shared" ref="I29:I30" si="9">0.5*F29*G29*H29*C29</f>
        <v>4052.3110078706882</v>
      </c>
      <c r="J29" s="2">
        <v>3969.6</v>
      </c>
      <c r="K29" s="2">
        <f>((I29-J29)/J29)*100</f>
        <v>2.0836106376130656</v>
      </c>
    </row>
    <row r="30" spans="1:11" x14ac:dyDescent="0.3">
      <c r="A30" s="2">
        <v>5</v>
      </c>
      <c r="B30" s="2">
        <v>-0.4</v>
      </c>
      <c r="C30" s="2">
        <v>0.17627000000000001</v>
      </c>
      <c r="D30" s="2">
        <v>6.0699999999999999E-3</v>
      </c>
      <c r="E30" s="4">
        <f t="shared" ref="E30:E31" si="10">C30/D30</f>
        <v>29.039538714991764</v>
      </c>
      <c r="F30" s="2">
        <v>2.3768999999999999E-3</v>
      </c>
      <c r="G30" s="2">
        <f t="shared" ref="G30:G31" si="11">335*335</f>
        <v>112225</v>
      </c>
      <c r="H30" s="2">
        <v>172.7</v>
      </c>
      <c r="I30" s="2">
        <f t="shared" si="9"/>
        <v>4060.1424507324855</v>
      </c>
      <c r="J30" s="2">
        <v>3969.6</v>
      </c>
      <c r="K30" s="2">
        <f>((I30-J30)/J30)*100</f>
        <v>2.2808960785088064</v>
      </c>
    </row>
    <row r="31" spans="1:11" x14ac:dyDescent="0.3">
      <c r="A31" s="2">
        <v>10</v>
      </c>
      <c r="B31" s="2">
        <v>-0.4</v>
      </c>
      <c r="C31" s="2">
        <v>0.17721999999999999</v>
      </c>
      <c r="D31" s="2">
        <v>4.5199999999999997E-3</v>
      </c>
      <c r="E31" s="4">
        <f t="shared" si="10"/>
        <v>39.207964601769909</v>
      </c>
      <c r="F31" s="2">
        <v>2.3768999999999999E-3</v>
      </c>
      <c r="G31" s="2">
        <f t="shared" si="11"/>
        <v>112225</v>
      </c>
      <c r="H31" s="2">
        <v>172.7</v>
      </c>
      <c r="I31" s="2">
        <f>0.5*F31*G31*H31*C31</f>
        <v>4082.0244234345664</v>
      </c>
      <c r="J31" s="2">
        <v>3969.6</v>
      </c>
      <c r="K31" s="2">
        <f>((I31-J31)/J31)*100</f>
        <v>2.8321348104233803</v>
      </c>
    </row>
    <row r="34" spans="1:11" x14ac:dyDescent="0.3">
      <c r="A34" s="8" t="s">
        <v>13</v>
      </c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x14ac:dyDescent="0.3">
      <c r="A35" s="2" t="s">
        <v>14</v>
      </c>
      <c r="B35" s="2" t="s">
        <v>3</v>
      </c>
      <c r="C35" s="2" t="s">
        <v>1</v>
      </c>
      <c r="D35" s="2" t="s">
        <v>2</v>
      </c>
      <c r="E35" s="2" t="s">
        <v>0</v>
      </c>
      <c r="F35" s="2" t="s">
        <v>15</v>
      </c>
      <c r="G35" s="2" t="s">
        <v>20</v>
      </c>
      <c r="H35" s="2" t="s">
        <v>19</v>
      </c>
      <c r="I35" s="2" t="s">
        <v>18</v>
      </c>
      <c r="J35" s="2" t="s">
        <v>17</v>
      </c>
      <c r="K35" s="2" t="s">
        <v>16</v>
      </c>
    </row>
    <row r="36" spans="1:11" x14ac:dyDescent="0.3">
      <c r="A36" s="2">
        <v>-3</v>
      </c>
      <c r="B36" s="2">
        <v>0.9</v>
      </c>
      <c r="C36" s="2">
        <v>0.17513000000000001</v>
      </c>
      <c r="D36" s="2">
        <v>8.3899999999999999E-3</v>
      </c>
      <c r="E36" s="4">
        <f>C36/D36</f>
        <v>20.873659117997619</v>
      </c>
      <c r="F36" s="2">
        <v>2.3768999999999999E-3</v>
      </c>
      <c r="G36" s="2">
        <f>335*335</f>
        <v>112225</v>
      </c>
      <c r="H36" s="2">
        <v>172.7</v>
      </c>
      <c r="I36" s="2">
        <f t="shared" ref="I36:I38" si="12">0.5*F36*G36*H36*C36</f>
        <v>4033.8840834899879</v>
      </c>
      <c r="J36" s="2">
        <v>3969.6</v>
      </c>
      <c r="K36" s="2">
        <f>((I36-J36)/J36)*100</f>
        <v>1.6194096002113061</v>
      </c>
    </row>
    <row r="37" spans="1:11" x14ac:dyDescent="0.3">
      <c r="A37" s="2">
        <v>0</v>
      </c>
      <c r="B37" s="2">
        <v>-0.4</v>
      </c>
      <c r="C37" s="2">
        <v>0.17593</v>
      </c>
      <c r="D37" s="2">
        <v>7.2899999999999996E-3</v>
      </c>
      <c r="E37" s="4">
        <f t="shared" ref="E37:E38" si="13">C37/D37</f>
        <v>24.133058984910839</v>
      </c>
      <c r="F37" s="2">
        <v>2.3768999999999999E-3</v>
      </c>
      <c r="G37" s="2">
        <f t="shared" ref="G37:G38" si="14">335*335</f>
        <v>112225</v>
      </c>
      <c r="H37" s="2">
        <v>172.7</v>
      </c>
      <c r="I37" s="2">
        <f t="shared" si="12"/>
        <v>4052.3110078706882</v>
      </c>
      <c r="J37" s="2">
        <v>3969.6</v>
      </c>
      <c r="K37" s="2">
        <f>((I37-J37)/J37)*100</f>
        <v>2.0836106376130656</v>
      </c>
    </row>
    <row r="38" spans="1:11" x14ac:dyDescent="0.3">
      <c r="A38" s="2">
        <v>3</v>
      </c>
      <c r="B38" s="2">
        <v>-1.7</v>
      </c>
      <c r="C38" s="2">
        <v>0.17665</v>
      </c>
      <c r="D38" s="2">
        <v>6.8999999999999999E-3</v>
      </c>
      <c r="E38" s="4">
        <f t="shared" si="13"/>
        <v>25.60144927536232</v>
      </c>
      <c r="F38" s="2">
        <v>2.3768999999999999E-3</v>
      </c>
      <c r="G38" s="2">
        <f t="shared" si="14"/>
        <v>112225</v>
      </c>
      <c r="H38" s="2">
        <v>172.7</v>
      </c>
      <c r="I38" s="2">
        <f t="shared" si="12"/>
        <v>4068.8952398133179</v>
      </c>
      <c r="J38" s="2">
        <v>3969.6</v>
      </c>
      <c r="K38" s="2">
        <f>((I38-J38)/J38)*100</f>
        <v>2.501391571274636</v>
      </c>
    </row>
    <row r="41" spans="1:11" x14ac:dyDescent="0.3">
      <c r="A41"/>
      <c r="B41"/>
      <c r="C41"/>
      <c r="D41"/>
      <c r="E41"/>
    </row>
    <row r="52" spans="1:6" x14ac:dyDescent="0.3">
      <c r="A52"/>
      <c r="B52"/>
      <c r="C52"/>
      <c r="D52"/>
      <c r="E52"/>
      <c r="F52"/>
    </row>
    <row r="53" spans="1:6" x14ac:dyDescent="0.3">
      <c r="A53"/>
      <c r="B53"/>
      <c r="C53"/>
      <c r="D53"/>
      <c r="E53"/>
      <c r="F53"/>
    </row>
    <row r="54" spans="1:6" x14ac:dyDescent="0.3">
      <c r="A54"/>
      <c r="B54"/>
      <c r="C54"/>
      <c r="D54"/>
      <c r="E54"/>
      <c r="F54"/>
    </row>
    <row r="55" spans="1:6" x14ac:dyDescent="0.3">
      <c r="A55"/>
      <c r="B55"/>
      <c r="C55"/>
      <c r="D55"/>
      <c r="E55"/>
      <c r="F55"/>
    </row>
    <row r="56" spans="1:6" x14ac:dyDescent="0.3">
      <c r="A56"/>
      <c r="B56"/>
      <c r="C56"/>
      <c r="D56"/>
      <c r="E56"/>
      <c r="F56"/>
    </row>
    <row r="57" spans="1:6" x14ac:dyDescent="0.3">
      <c r="A57"/>
      <c r="B57"/>
      <c r="C57"/>
      <c r="D57"/>
      <c r="E57"/>
      <c r="F57"/>
    </row>
    <row r="58" spans="1:6" x14ac:dyDescent="0.3">
      <c r="A58"/>
      <c r="B58"/>
      <c r="C58"/>
      <c r="D58"/>
      <c r="E58"/>
      <c r="F58"/>
    </row>
    <row r="59" spans="1:6" x14ac:dyDescent="0.3">
      <c r="A59"/>
      <c r="B59"/>
      <c r="C59"/>
      <c r="D59"/>
      <c r="E59"/>
      <c r="F59"/>
    </row>
    <row r="60" spans="1:6" x14ac:dyDescent="0.3">
      <c r="A60"/>
      <c r="B60"/>
      <c r="C60"/>
      <c r="D60"/>
      <c r="E60"/>
      <c r="F60"/>
    </row>
    <row r="61" spans="1:6" x14ac:dyDescent="0.3">
      <c r="A61"/>
      <c r="B61"/>
      <c r="C61"/>
      <c r="D61"/>
      <c r="E61"/>
      <c r="F61"/>
    </row>
    <row r="62" spans="1:6" x14ac:dyDescent="0.3">
      <c r="A62"/>
      <c r="B62"/>
      <c r="C62"/>
      <c r="D62"/>
      <c r="E62"/>
      <c r="F62"/>
    </row>
    <row r="63" spans="1:6" x14ac:dyDescent="0.3">
      <c r="A63"/>
      <c r="B63"/>
      <c r="C63"/>
      <c r="D63"/>
      <c r="E63"/>
      <c r="F63"/>
    </row>
    <row r="64" spans="1:6" x14ac:dyDescent="0.3">
      <c r="A64"/>
      <c r="B64"/>
      <c r="C64"/>
      <c r="D64"/>
      <c r="E64"/>
      <c r="F64"/>
    </row>
    <row r="65" spans="1:6" x14ac:dyDescent="0.3">
      <c r="A65"/>
      <c r="B65"/>
      <c r="C65"/>
      <c r="D65"/>
      <c r="E65"/>
      <c r="F65"/>
    </row>
  </sheetData>
  <mergeCells count="6">
    <mergeCell ref="A1:D1"/>
    <mergeCell ref="A34:K34"/>
    <mergeCell ref="A6:K6"/>
    <mergeCell ref="A13:K13"/>
    <mergeCell ref="A20:K20"/>
    <mergeCell ref="A27:K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60DE-4DB6-4671-95A4-C512657870F6}">
  <dimension ref="A1:O65"/>
  <sheetViews>
    <sheetView tabSelected="1" topLeftCell="A22" zoomScale="110" zoomScaleNormal="110" workbookViewId="0">
      <selection activeCell="D25" sqref="D25"/>
    </sheetView>
  </sheetViews>
  <sheetFormatPr defaultRowHeight="14.4" x14ac:dyDescent="0.3"/>
  <cols>
    <col min="1" max="1" width="8" style="1" bestFit="1" customWidth="1"/>
    <col min="2" max="2" width="8.5546875" style="1" bestFit="1" customWidth="1"/>
    <col min="3" max="3" width="8" style="1" bestFit="1" customWidth="1"/>
    <col min="4" max="4" width="8.5546875" style="1" bestFit="1" customWidth="1"/>
    <col min="5" max="5" width="8" style="1" bestFit="1" customWidth="1"/>
    <col min="6" max="6" width="8.88671875" style="1"/>
    <col min="7" max="7" width="7.5546875" style="1" bestFit="1" customWidth="1"/>
    <col min="8" max="8" width="10" style="1" bestFit="1" customWidth="1"/>
    <col min="9" max="9" width="9" style="1" bestFit="1" customWidth="1"/>
    <col min="10" max="10" width="8" style="1" bestFit="1" customWidth="1"/>
    <col min="11" max="11" width="12" style="1" bestFit="1" customWidth="1"/>
    <col min="12" max="12" width="7" style="1" bestFit="1" customWidth="1"/>
    <col min="13" max="13" width="12.6640625" style="1" bestFit="1" customWidth="1"/>
    <col min="14" max="16384" width="8.88671875" style="1"/>
  </cols>
  <sheetData>
    <row r="1" spans="1:15" x14ac:dyDescent="0.3">
      <c r="A1" s="8" t="s">
        <v>4</v>
      </c>
      <c r="B1" s="8"/>
      <c r="C1" s="8"/>
      <c r="D1" s="8"/>
      <c r="I1"/>
      <c r="J1"/>
      <c r="K1"/>
      <c r="L1"/>
      <c r="M1"/>
      <c r="N1"/>
      <c r="O1"/>
    </row>
    <row r="2" spans="1:15" x14ac:dyDescent="0.3">
      <c r="A2" s="2" t="s">
        <v>1</v>
      </c>
      <c r="B2" s="2" t="s">
        <v>2</v>
      </c>
      <c r="C2" s="2" t="s">
        <v>0</v>
      </c>
      <c r="D2" s="2" t="s">
        <v>3</v>
      </c>
    </row>
    <row r="3" spans="1:15" x14ac:dyDescent="0.3">
      <c r="A3" s="5">
        <v>0.38590999999999998</v>
      </c>
      <c r="B3" s="5">
        <v>1.4160000000000001E-2</v>
      </c>
      <c r="C3" s="6">
        <v>27.382000000000001</v>
      </c>
      <c r="D3" s="5">
        <v>2</v>
      </c>
    </row>
    <row r="4" spans="1:15" x14ac:dyDescent="0.3">
      <c r="A4" s="7" t="s">
        <v>21</v>
      </c>
      <c r="B4" s="2">
        <v>6</v>
      </c>
      <c r="C4" s="2">
        <v>34</v>
      </c>
      <c r="D4" s="2">
        <v>0.5</v>
      </c>
      <c r="E4" s="2">
        <v>0</v>
      </c>
      <c r="F4" s="2">
        <v>-4</v>
      </c>
    </row>
    <row r="5" spans="1:15" x14ac:dyDescent="0.3">
      <c r="A5" s="7" t="s">
        <v>22</v>
      </c>
      <c r="B5" s="2">
        <v>10</v>
      </c>
      <c r="C5" s="2">
        <v>38</v>
      </c>
      <c r="D5" s="2">
        <v>1</v>
      </c>
      <c r="E5" s="2">
        <v>10</v>
      </c>
      <c r="F5" s="2">
        <v>0</v>
      </c>
    </row>
    <row r="6" spans="1:15" x14ac:dyDescent="0.3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5" x14ac:dyDescent="0.3">
      <c r="A7" s="2" t="s">
        <v>6</v>
      </c>
      <c r="B7" s="2" t="s">
        <v>3</v>
      </c>
      <c r="C7" s="2" t="s">
        <v>1</v>
      </c>
      <c r="D7" s="2" t="s">
        <v>2</v>
      </c>
      <c r="E7" s="2"/>
      <c r="F7" s="2"/>
      <c r="G7" s="2" t="s">
        <v>0</v>
      </c>
      <c r="H7" s="2" t="s">
        <v>15</v>
      </c>
      <c r="I7" s="2" t="s">
        <v>20</v>
      </c>
      <c r="J7" s="2" t="s">
        <v>19</v>
      </c>
      <c r="K7" s="2" t="s">
        <v>18</v>
      </c>
      <c r="L7" s="2" t="s">
        <v>17</v>
      </c>
      <c r="M7" s="2" t="s">
        <v>16</v>
      </c>
    </row>
    <row r="8" spans="1:15" x14ac:dyDescent="0.3">
      <c r="A8" s="2">
        <v>6</v>
      </c>
      <c r="B8" s="2">
        <v>-0.27500000000000002</v>
      </c>
      <c r="C8" s="2">
        <v>0.14051</v>
      </c>
      <c r="D8" s="2">
        <v>1.093E-2</v>
      </c>
      <c r="E8" s="2"/>
      <c r="F8" s="2"/>
      <c r="G8" s="4">
        <f>C8/D8</f>
        <v>12.855443732845378</v>
      </c>
      <c r="H8" s="2">
        <v>2.3770000000000002E-3</v>
      </c>
      <c r="I8" s="2">
        <f>334.93*334.93</f>
        <v>112178.10490000001</v>
      </c>
      <c r="J8" s="2">
        <v>216</v>
      </c>
      <c r="K8" s="2">
        <f>0.5*H8*I8*J8*C8</f>
        <v>4046.3949491837056</v>
      </c>
      <c r="L8" s="2">
        <v>3969.6</v>
      </c>
      <c r="M8" s="2">
        <f>((K8-L8)/L8)*100</f>
        <v>1.9345765110768274</v>
      </c>
    </row>
    <row r="9" spans="1:15" x14ac:dyDescent="0.3">
      <c r="A9" s="2">
        <v>8</v>
      </c>
      <c r="B9" s="2">
        <v>6.2E-2</v>
      </c>
      <c r="C9" s="2">
        <v>0.17977000000000001</v>
      </c>
      <c r="D9" s="2">
        <v>1.1259999999999999E-2</v>
      </c>
      <c r="E9" s="2"/>
      <c r="F9" s="2"/>
      <c r="G9" s="4">
        <f>C9/D9</f>
        <v>15.96536412078153</v>
      </c>
      <c r="H9" s="2">
        <v>2.3770000000000002E-3</v>
      </c>
      <c r="I9" s="2">
        <f>334.93*334.93</f>
        <v>112178.10490000001</v>
      </c>
      <c r="J9" s="2">
        <v>162</v>
      </c>
      <c r="K9" s="2">
        <f t="shared" ref="K9:K10" si="0">0.5*H9*I9*J9*C9</f>
        <v>3882.7508007335146</v>
      </c>
      <c r="L9" s="2">
        <v>3969.6</v>
      </c>
      <c r="M9" s="2">
        <f>((K9-L9)/L9)*100</f>
        <v>-2.1878577001835287</v>
      </c>
    </row>
    <row r="10" spans="1:15" x14ac:dyDescent="0.3">
      <c r="A10" s="2">
        <v>10</v>
      </c>
      <c r="B10" s="2">
        <v>0.438</v>
      </c>
      <c r="C10" s="2">
        <v>0.22441</v>
      </c>
      <c r="D10" s="2">
        <v>1.158E-2</v>
      </c>
      <c r="E10" s="2"/>
      <c r="F10" s="2"/>
      <c r="G10" s="4">
        <f>C10/D10</f>
        <v>19.379101899827287</v>
      </c>
      <c r="H10" s="2">
        <v>2.3770000000000002E-3</v>
      </c>
      <c r="I10" s="2">
        <f>334.93*334.93</f>
        <v>112178.10490000001</v>
      </c>
      <c r="J10" s="2">
        <v>129.6</v>
      </c>
      <c r="K10" s="2">
        <f t="shared" si="0"/>
        <v>3877.5239792739967</v>
      </c>
      <c r="L10" s="2">
        <v>3969.6</v>
      </c>
      <c r="M10" s="2">
        <f>((K10-L10)/L10)*100</f>
        <v>-2.3195289380794843</v>
      </c>
    </row>
    <row r="13" spans="1:15" x14ac:dyDescent="0.3">
      <c r="A13" s="8" t="s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5" x14ac:dyDescent="0.3">
      <c r="A14" s="2" t="s">
        <v>7</v>
      </c>
      <c r="B14" s="2" t="s">
        <v>3</v>
      </c>
      <c r="C14" s="2" t="s">
        <v>1</v>
      </c>
      <c r="D14" s="2" t="s">
        <v>2</v>
      </c>
      <c r="E14" s="2"/>
      <c r="F14" s="2"/>
      <c r="G14" s="2" t="s">
        <v>0</v>
      </c>
      <c r="H14" s="2" t="s">
        <v>15</v>
      </c>
      <c r="I14" s="2" t="s">
        <v>20</v>
      </c>
      <c r="J14" s="2" t="s">
        <v>19</v>
      </c>
      <c r="K14" s="2" t="s">
        <v>18</v>
      </c>
      <c r="L14" s="2" t="s">
        <v>17</v>
      </c>
      <c r="M14" s="2" t="s">
        <v>16</v>
      </c>
    </row>
    <row r="15" spans="1:15" x14ac:dyDescent="0.3">
      <c r="A15" s="2">
        <v>34</v>
      </c>
      <c r="B15" s="2">
        <v>0.3</v>
      </c>
      <c r="C15" s="2">
        <v>0.20139000000000001</v>
      </c>
      <c r="D15" s="2">
        <v>1.159E-2</v>
      </c>
      <c r="E15" s="2"/>
      <c r="F15" s="2"/>
      <c r="G15" s="4">
        <f>C15/D15</f>
        <v>17.37618636755824</v>
      </c>
      <c r="H15" s="2">
        <v>2.3770000000000002E-3</v>
      </c>
      <c r="I15" s="2">
        <f>334.93*334.93</f>
        <v>112178.10490000001</v>
      </c>
      <c r="J15" s="2">
        <v>144.5</v>
      </c>
      <c r="K15" s="2">
        <f>0.5*H15*I15*J15*C15</f>
        <v>3879.8330120476267</v>
      </c>
      <c r="L15" s="2">
        <v>3969.6</v>
      </c>
      <c r="M15" s="2">
        <f>((K15-L15)/L15)*100</f>
        <v>-2.2613610427341104</v>
      </c>
    </row>
    <row r="16" spans="1:15" x14ac:dyDescent="0.3">
      <c r="A16" s="2">
        <v>36</v>
      </c>
      <c r="B16" s="2">
        <v>6.2E-2</v>
      </c>
      <c r="C16" s="2">
        <v>0.17977000000000001</v>
      </c>
      <c r="D16" s="2">
        <v>1.1259999999999999E-2</v>
      </c>
      <c r="E16" s="2"/>
      <c r="F16" s="2"/>
      <c r="G16" s="4">
        <f>C16/D16</f>
        <v>15.96536412078153</v>
      </c>
      <c r="H16" s="2">
        <v>2.3770000000000002E-3</v>
      </c>
      <c r="I16" s="2">
        <f>334.93*334.93</f>
        <v>112178.10490000001</v>
      </c>
      <c r="J16" s="2">
        <v>162</v>
      </c>
      <c r="K16" s="2">
        <f t="shared" ref="K16" si="1">0.5*H16*I16*J16*C16</f>
        <v>3882.7508007335146</v>
      </c>
      <c r="L16" s="2">
        <v>3969.6</v>
      </c>
      <c r="M16" s="2">
        <f>((K16-L16)/L16)*100</f>
        <v>-2.1878577001835287</v>
      </c>
    </row>
    <row r="17" spans="1:13" x14ac:dyDescent="0.3">
      <c r="A17" s="2">
        <v>38</v>
      </c>
      <c r="B17" s="2">
        <v>-6.5000000000000002E-2</v>
      </c>
      <c r="C17" s="2">
        <v>0.16833999999999999</v>
      </c>
      <c r="D17" s="2">
        <v>1.1089999999999999E-2</v>
      </c>
      <c r="E17" s="2"/>
      <c r="F17" s="2"/>
      <c r="G17" s="4">
        <f>C17/D17</f>
        <v>15.179440937781786</v>
      </c>
      <c r="H17" s="2">
        <v>2.3770000000000002E-3</v>
      </c>
      <c r="I17" s="2">
        <f>334.93*334.93</f>
        <v>112178.10490000001</v>
      </c>
      <c r="J17" s="2">
        <v>180.5</v>
      </c>
      <c r="K17" s="2">
        <f>0.5*H17*I17*J17*C17</f>
        <v>4051.0892758745954</v>
      </c>
      <c r="L17" s="2">
        <v>3969.6</v>
      </c>
      <c r="M17" s="2">
        <f>((K17-L17)/L17)*100</f>
        <v>2.0528334309400313</v>
      </c>
    </row>
    <row r="20" spans="1:13" x14ac:dyDescent="0.3">
      <c r="A20" s="8" t="s">
        <v>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3">
      <c r="A21" s="2" t="s">
        <v>10</v>
      </c>
      <c r="B21" s="2" t="s">
        <v>3</v>
      </c>
      <c r="C21" s="2" t="s">
        <v>1</v>
      </c>
      <c r="D21" s="2" t="s">
        <v>2</v>
      </c>
      <c r="E21" s="2"/>
      <c r="F21" s="2"/>
      <c r="G21" s="2" t="s">
        <v>0</v>
      </c>
      <c r="H21" s="2" t="s">
        <v>15</v>
      </c>
      <c r="I21" s="2" t="s">
        <v>20</v>
      </c>
      <c r="J21" s="2" t="s">
        <v>19</v>
      </c>
      <c r="K21" s="2" t="s">
        <v>18</v>
      </c>
      <c r="L21" s="2" t="s">
        <v>17</v>
      </c>
      <c r="M21" s="2" t="s">
        <v>16</v>
      </c>
    </row>
    <row r="22" spans="1:13" x14ac:dyDescent="0.3">
      <c r="A22" s="2">
        <v>0.5</v>
      </c>
      <c r="B22" s="2">
        <v>-0.35099999999999998</v>
      </c>
      <c r="C22" s="2">
        <v>0.17274999999999999</v>
      </c>
      <c r="D22" s="2">
        <v>1.136E-2</v>
      </c>
      <c r="E22" s="2"/>
      <c r="F22" s="2"/>
      <c r="G22" s="4">
        <f>C22/D22</f>
        <v>15.206866197183096</v>
      </c>
      <c r="H22" s="2">
        <v>2.3770000000000002E-3</v>
      </c>
      <c r="I22" s="2">
        <f>334.93*334.93</f>
        <v>112178.10490000001</v>
      </c>
      <c r="J22" s="2">
        <v>162</v>
      </c>
      <c r="K22" s="2">
        <f>0.5*H22*I22*J22*C22</f>
        <v>3731.1297815359321</v>
      </c>
      <c r="L22" s="2">
        <v>3969.6</v>
      </c>
      <c r="M22" s="2">
        <f>((K22-L22)/L22)*100</f>
        <v>-6.0074117912149285</v>
      </c>
    </row>
    <row r="23" spans="1:13" x14ac:dyDescent="0.3">
      <c r="A23" s="2">
        <v>0.75</v>
      </c>
      <c r="B23" s="2">
        <v>6.2E-2</v>
      </c>
      <c r="C23" s="2">
        <v>0.17186000000000001</v>
      </c>
      <c r="D23" s="2">
        <v>1.1180000000000001E-2</v>
      </c>
      <c r="E23" s="2"/>
      <c r="F23" s="2"/>
      <c r="G23" s="4">
        <f>C23/D23</f>
        <v>15.372093023255815</v>
      </c>
      <c r="H23" s="2">
        <v>2.3770000000000002E-3</v>
      </c>
      <c r="I23" s="2">
        <f>334.93*334.93</f>
        <v>112178.10490000001</v>
      </c>
      <c r="J23" s="2">
        <v>162</v>
      </c>
      <c r="K23" s="2">
        <f t="shared" ref="K23:K24" si="2">0.5*H23*I23*J23*C23</f>
        <v>3711.9071736889459</v>
      </c>
      <c r="L23" s="2">
        <v>3969.6</v>
      </c>
      <c r="M23" s="2">
        <f>((K23-L23)/L23)*100</f>
        <v>-6.4916572528983778</v>
      </c>
    </row>
    <row r="24" spans="1:13" x14ac:dyDescent="0.3">
      <c r="A24" s="2">
        <v>1</v>
      </c>
      <c r="B24" s="2">
        <v>0.45600000000000002</v>
      </c>
      <c r="C24" s="2">
        <v>0.17177000000000001</v>
      </c>
      <c r="D24" s="2">
        <v>9.8899999999999995E-3</v>
      </c>
      <c r="E24" s="2"/>
      <c r="F24" s="2"/>
      <c r="G24" s="4">
        <f>C24/D24</f>
        <v>17.368048533872599</v>
      </c>
      <c r="H24" s="2">
        <v>2.3770000000000002E-3</v>
      </c>
      <c r="I24" s="2">
        <f>334.93*334.93</f>
        <v>112178.10490000001</v>
      </c>
      <c r="J24" s="2">
        <v>162</v>
      </c>
      <c r="K24" s="2">
        <f t="shared" si="2"/>
        <v>3709.963314468464</v>
      </c>
      <c r="L24" s="2">
        <v>3969.6</v>
      </c>
      <c r="M24" s="2">
        <f>((K24-L24)/L24)*100</f>
        <v>-6.5406258950910896</v>
      </c>
    </row>
    <row r="27" spans="1:13" x14ac:dyDescent="0.3">
      <c r="A27" s="8" t="s">
        <v>11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3">
      <c r="A28" s="2" t="s">
        <v>12</v>
      </c>
      <c r="B28" s="2" t="s">
        <v>3</v>
      </c>
      <c r="C28" s="2" t="s">
        <v>1</v>
      </c>
      <c r="D28" s="2" t="s">
        <v>2</v>
      </c>
      <c r="E28" s="2"/>
      <c r="F28" s="2"/>
      <c r="G28" s="2" t="s">
        <v>0</v>
      </c>
      <c r="H28" s="2" t="s">
        <v>15</v>
      </c>
      <c r="I28" s="2" t="s">
        <v>20</v>
      </c>
      <c r="J28" s="2" t="s">
        <v>19</v>
      </c>
      <c r="K28" s="2" t="s">
        <v>18</v>
      </c>
      <c r="L28" s="2" t="s">
        <v>17</v>
      </c>
      <c r="M28" s="2" t="s">
        <v>16</v>
      </c>
    </row>
    <row r="29" spans="1:13" x14ac:dyDescent="0.3">
      <c r="A29" s="2">
        <v>0</v>
      </c>
      <c r="B29" s="2">
        <v>8.2000000000000003E-2</v>
      </c>
      <c r="C29" s="2">
        <v>0.18001</v>
      </c>
      <c r="D29" s="2">
        <v>1.154E-2</v>
      </c>
      <c r="E29" s="2"/>
      <c r="F29" s="2"/>
      <c r="G29" s="4">
        <f>C29/D29</f>
        <v>15.598786828422877</v>
      </c>
      <c r="H29" s="2">
        <v>2.3770000000000002E-3</v>
      </c>
      <c r="I29" s="2">
        <f>334.93*334.93</f>
        <v>112178.10490000001</v>
      </c>
      <c r="J29" s="2">
        <v>162</v>
      </c>
      <c r="K29" s="2">
        <f t="shared" ref="K29:K30" si="3">0.5*H29*I29*J29*C29</f>
        <v>3887.9344253214658</v>
      </c>
      <c r="L29" s="2">
        <v>3969.6</v>
      </c>
      <c r="M29" s="2">
        <f>((K29-L29)/L29)*100</f>
        <v>-2.0572746543363079</v>
      </c>
    </row>
    <row r="30" spans="1:13" x14ac:dyDescent="0.3">
      <c r="A30" s="2">
        <v>5</v>
      </c>
      <c r="B30" s="2">
        <v>6.2E-2</v>
      </c>
      <c r="C30" s="2">
        <v>0.17977000000000001</v>
      </c>
      <c r="D30" s="2">
        <v>1.1259999999999999E-2</v>
      </c>
      <c r="E30" s="2"/>
      <c r="F30" s="2"/>
      <c r="G30" s="4">
        <f>C30/D30</f>
        <v>15.96536412078153</v>
      </c>
      <c r="H30" s="2">
        <v>2.3770000000000002E-3</v>
      </c>
      <c r="I30" s="2">
        <f>334.93*334.93</f>
        <v>112178.10490000001</v>
      </c>
      <c r="J30" s="2">
        <v>162</v>
      </c>
      <c r="K30" s="2">
        <f t="shared" si="3"/>
        <v>3882.7508007335146</v>
      </c>
      <c r="L30" s="2">
        <v>3969.6</v>
      </c>
      <c r="M30" s="2">
        <f>((K30-L30)/L30)*100</f>
        <v>-2.1878577001835287</v>
      </c>
    </row>
    <row r="31" spans="1:13" x14ac:dyDescent="0.3">
      <c r="A31" s="2">
        <v>10</v>
      </c>
      <c r="B31" s="2">
        <v>5.7000000000000002E-2</v>
      </c>
      <c r="C31" s="2">
        <v>0.18003</v>
      </c>
      <c r="D31" s="2">
        <v>1.0619999999999999E-2</v>
      </c>
      <c r="E31" s="2"/>
      <c r="F31" s="2"/>
      <c r="G31" s="4">
        <f>C31/D31</f>
        <v>16.951977401129945</v>
      </c>
      <c r="H31" s="2">
        <v>2.3770000000000002E-3</v>
      </c>
      <c r="I31" s="2">
        <f>334.93*334.93</f>
        <v>112178.10490000001</v>
      </c>
      <c r="J31" s="2">
        <v>162</v>
      </c>
      <c r="K31" s="2">
        <f>0.5*H31*I31*J31*C31</f>
        <v>3888.3663940371284</v>
      </c>
      <c r="L31" s="2">
        <v>3969.6</v>
      </c>
      <c r="M31" s="2">
        <f>((K31-L31)/L31)*100</f>
        <v>-2.0463927338490397</v>
      </c>
    </row>
    <row r="34" spans="1:13" x14ac:dyDescent="0.3">
      <c r="A34" s="8" t="s">
        <v>13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3">
      <c r="A35" s="2" t="s">
        <v>14</v>
      </c>
      <c r="B35" s="2" t="s">
        <v>3</v>
      </c>
      <c r="C35" s="2" t="s">
        <v>1</v>
      </c>
      <c r="D35" s="2" t="s">
        <v>2</v>
      </c>
      <c r="E35" s="2"/>
      <c r="F35" s="2"/>
      <c r="G35" s="2" t="s">
        <v>0</v>
      </c>
      <c r="H35" s="2" t="s">
        <v>15</v>
      </c>
      <c r="I35" s="2" t="s">
        <v>20</v>
      </c>
      <c r="J35" s="2" t="s">
        <v>19</v>
      </c>
      <c r="K35" s="2" t="s">
        <v>18</v>
      </c>
      <c r="L35" s="2" t="s">
        <v>17</v>
      </c>
      <c r="M35" s="2" t="s">
        <v>16</v>
      </c>
    </row>
    <row r="36" spans="1:13" x14ac:dyDescent="0.3">
      <c r="A36" s="2">
        <v>-4</v>
      </c>
      <c r="B36" s="2">
        <v>0.81100000000000005</v>
      </c>
      <c r="C36" s="2">
        <v>0.17924000000000001</v>
      </c>
      <c r="D36" s="2">
        <v>1.222E-2</v>
      </c>
      <c r="E36" s="2"/>
      <c r="F36" s="2"/>
      <c r="G36" s="4">
        <f>C36/D36</f>
        <v>14.667757774140753</v>
      </c>
      <c r="H36" s="2">
        <v>2.3770000000000002E-3</v>
      </c>
      <c r="I36" s="2">
        <f>334.93*334.93</f>
        <v>112178.10490000001</v>
      </c>
      <c r="J36" s="2">
        <v>162</v>
      </c>
      <c r="K36" s="2">
        <f t="shared" ref="K36:K38" si="4">0.5*H36*I36*J36*C36</f>
        <v>3871.3036297684548</v>
      </c>
      <c r="L36" s="2">
        <v>3969.6</v>
      </c>
      <c r="M36" s="2">
        <f>((K36-L36)/L36)*100</f>
        <v>-2.4762285930961583</v>
      </c>
    </row>
    <row r="37" spans="1:13" x14ac:dyDescent="0.3">
      <c r="A37" s="2">
        <v>-2</v>
      </c>
      <c r="B37" s="2">
        <v>6.2E-2</v>
      </c>
      <c r="C37" s="2">
        <v>0.17977000000000001</v>
      </c>
      <c r="D37" s="2">
        <v>1.1259999999999999E-2</v>
      </c>
      <c r="E37" s="2"/>
      <c r="F37" s="2"/>
      <c r="G37" s="4">
        <f>C37/D37</f>
        <v>15.96536412078153</v>
      </c>
      <c r="H37" s="2">
        <v>2.3770000000000002E-3</v>
      </c>
      <c r="I37" s="2">
        <f>334.93*334.93</f>
        <v>112178.10490000001</v>
      </c>
      <c r="J37" s="2">
        <v>162</v>
      </c>
      <c r="K37" s="2">
        <f t="shared" si="4"/>
        <v>3882.7508007335146</v>
      </c>
      <c r="L37" s="2">
        <v>3969.6</v>
      </c>
      <c r="M37" s="2">
        <f>((K37-L37)/L37)*100</f>
        <v>-2.1878577001835287</v>
      </c>
    </row>
    <row r="38" spans="1:13" x14ac:dyDescent="0.3">
      <c r="A38" s="2">
        <v>0</v>
      </c>
      <c r="B38" s="2">
        <v>-0.60299999999999998</v>
      </c>
      <c r="C38" s="2">
        <v>0.18795000000000001</v>
      </c>
      <c r="D38" s="2">
        <v>1.074E-2</v>
      </c>
      <c r="E38" s="2"/>
      <c r="F38" s="2"/>
      <c r="G38" s="4">
        <f>C38/D38</f>
        <v>17.5</v>
      </c>
      <c r="H38" s="2">
        <v>2.3770000000000002E-3</v>
      </c>
      <c r="I38" s="2">
        <f>334.93*334.93</f>
        <v>112178.10490000001</v>
      </c>
      <c r="J38" s="2">
        <v>162</v>
      </c>
      <c r="K38" s="2">
        <f t="shared" si="4"/>
        <v>4059.4260054395286</v>
      </c>
      <c r="L38" s="2">
        <v>3969.6</v>
      </c>
      <c r="M38" s="2">
        <f>((K38-L38)/L38)*100</f>
        <v>2.2628477791094488</v>
      </c>
    </row>
    <row r="41" spans="1:13" x14ac:dyDescent="0.3">
      <c r="A41"/>
      <c r="B41"/>
      <c r="C41"/>
      <c r="D41"/>
      <c r="E41"/>
      <c r="F41"/>
      <c r="G41"/>
    </row>
    <row r="52" spans="1:8" x14ac:dyDescent="0.3">
      <c r="A52"/>
      <c r="B52"/>
      <c r="C52"/>
      <c r="D52"/>
      <c r="E52"/>
      <c r="F52"/>
      <c r="G52"/>
      <c r="H52"/>
    </row>
    <row r="53" spans="1:8" x14ac:dyDescent="0.3">
      <c r="A53"/>
      <c r="B53"/>
      <c r="C53"/>
      <c r="D53"/>
      <c r="E53"/>
      <c r="F53"/>
      <c r="G53"/>
      <c r="H53"/>
    </row>
    <row r="54" spans="1:8" x14ac:dyDescent="0.3">
      <c r="A54"/>
      <c r="B54"/>
      <c r="C54"/>
      <c r="D54"/>
      <c r="E54"/>
      <c r="F54"/>
      <c r="G54"/>
      <c r="H54"/>
    </row>
    <row r="55" spans="1:8" x14ac:dyDescent="0.3">
      <c r="A55"/>
      <c r="B55"/>
      <c r="C55"/>
      <c r="D55"/>
      <c r="E55"/>
      <c r="F55"/>
      <c r="G55"/>
      <c r="H55"/>
    </row>
    <row r="56" spans="1:8" x14ac:dyDescent="0.3">
      <c r="A56"/>
      <c r="B56"/>
      <c r="C56"/>
      <c r="D56"/>
      <c r="E56"/>
      <c r="F56"/>
      <c r="G56"/>
      <c r="H56"/>
    </row>
    <row r="57" spans="1:8" x14ac:dyDescent="0.3">
      <c r="A57"/>
      <c r="B57"/>
      <c r="C57"/>
      <c r="D57"/>
      <c r="E57"/>
      <c r="F57"/>
      <c r="G57"/>
      <c r="H57"/>
    </row>
    <row r="58" spans="1:8" x14ac:dyDescent="0.3">
      <c r="A58"/>
      <c r="B58"/>
      <c r="C58"/>
      <c r="D58"/>
      <c r="E58"/>
      <c r="F58"/>
      <c r="G58"/>
      <c r="H58"/>
    </row>
    <row r="59" spans="1:8" x14ac:dyDescent="0.3">
      <c r="A59"/>
      <c r="B59"/>
      <c r="C59"/>
      <c r="D59"/>
      <c r="E59"/>
      <c r="F59"/>
      <c r="G59"/>
      <c r="H59"/>
    </row>
    <row r="60" spans="1:8" x14ac:dyDescent="0.3">
      <c r="A60"/>
      <c r="B60"/>
      <c r="C60"/>
      <c r="D60"/>
      <c r="E60"/>
      <c r="F60"/>
      <c r="G60"/>
      <c r="H60"/>
    </row>
    <row r="61" spans="1:8" x14ac:dyDescent="0.3">
      <c r="A61"/>
      <c r="B61"/>
      <c r="C61"/>
      <c r="D61"/>
      <c r="E61"/>
      <c r="F61"/>
      <c r="G61"/>
      <c r="H61"/>
    </row>
    <row r="62" spans="1:8" x14ac:dyDescent="0.3">
      <c r="A62"/>
      <c r="B62"/>
      <c r="C62"/>
      <c r="D62"/>
      <c r="E62"/>
      <c r="F62"/>
      <c r="G62"/>
      <c r="H62"/>
    </row>
    <row r="63" spans="1:8" x14ac:dyDescent="0.3">
      <c r="A63"/>
      <c r="B63"/>
      <c r="C63"/>
      <c r="D63"/>
      <c r="E63"/>
      <c r="F63"/>
      <c r="G63"/>
      <c r="H63"/>
    </row>
    <row r="64" spans="1:8" x14ac:dyDescent="0.3">
      <c r="A64"/>
      <c r="B64"/>
      <c r="C64"/>
      <c r="D64"/>
      <c r="E64"/>
      <c r="F64"/>
      <c r="G64"/>
      <c r="H64"/>
    </row>
    <row r="65" spans="1:8" x14ac:dyDescent="0.3">
      <c r="A65"/>
      <c r="B65"/>
      <c r="C65"/>
      <c r="D65"/>
      <c r="E65"/>
      <c r="F65"/>
      <c r="G65"/>
      <c r="H65"/>
    </row>
  </sheetData>
  <mergeCells count="6">
    <mergeCell ref="A34:M34"/>
    <mergeCell ref="A1:D1"/>
    <mergeCell ref="A6:M6"/>
    <mergeCell ref="A13:M13"/>
    <mergeCell ref="A20:M20"/>
    <mergeCell ref="A27:M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E277-5ECA-48B4-B06E-779098C1E93E}">
  <dimension ref="A1:L29"/>
  <sheetViews>
    <sheetView topLeftCell="A19" workbookViewId="0">
      <selection activeCell="D24" sqref="D24"/>
    </sheetView>
  </sheetViews>
  <sheetFormatPr defaultRowHeight="14.4" x14ac:dyDescent="0.3"/>
  <cols>
    <col min="1" max="1" width="14.44140625" style="1" customWidth="1"/>
    <col min="2" max="2" width="16" style="1" customWidth="1"/>
    <col min="3" max="3" width="18.21875" style="1" customWidth="1"/>
    <col min="4" max="4" width="12.109375" style="1" customWidth="1"/>
    <col min="5" max="5" width="11.109375" style="1" bestFit="1" customWidth="1"/>
    <col min="6" max="16384" width="8.88671875" style="1"/>
  </cols>
  <sheetData>
    <row r="1" spans="1:10" x14ac:dyDescent="0.3">
      <c r="A1" s="8" t="s">
        <v>32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">
      <c r="A2" s="2" t="s">
        <v>24</v>
      </c>
      <c r="B2" s="2" t="s">
        <v>25</v>
      </c>
      <c r="C2" s="2" t="s">
        <v>26</v>
      </c>
      <c r="D2" s="2" t="s">
        <v>31</v>
      </c>
      <c r="E2" s="2" t="s">
        <v>28</v>
      </c>
      <c r="F2" s="2" t="s">
        <v>27</v>
      </c>
      <c r="G2" s="2" t="s">
        <v>19</v>
      </c>
      <c r="H2" s="2" t="s">
        <v>6</v>
      </c>
      <c r="I2" s="2" t="s">
        <v>29</v>
      </c>
      <c r="J2" s="2" t="s">
        <v>30</v>
      </c>
    </row>
    <row r="3" spans="1:10" x14ac:dyDescent="0.3">
      <c r="A3" s="2">
        <v>0.1</v>
      </c>
      <c r="B3" s="2">
        <f xml:space="preserve"> (2*C3*D3*D3)/(E3*F3*F3*G3)</f>
        <v>443.63388873905637</v>
      </c>
      <c r="C3" s="2">
        <f>1/(J3*I3*H3)</f>
        <v>4.9761146496815276E-2</v>
      </c>
      <c r="D3" s="2">
        <v>3970</v>
      </c>
      <c r="E3" s="2">
        <v>2.3770000000000002E-3</v>
      </c>
      <c r="F3" s="2">
        <f>A3*1078</f>
        <v>107.80000000000001</v>
      </c>
      <c r="G3" s="2">
        <v>128</v>
      </c>
      <c r="H3" s="2">
        <v>8</v>
      </c>
      <c r="I3" s="2">
        <v>0.8</v>
      </c>
      <c r="J3" s="2">
        <v>3.14</v>
      </c>
    </row>
    <row r="4" spans="1:10" x14ac:dyDescent="0.3">
      <c r="A4" s="2">
        <v>0.15</v>
      </c>
      <c r="B4" s="2">
        <f t="shared" ref="B4:B14" si="0" xml:space="preserve"> (2*C4*D4*D4)/(E4*F4*F4*G4)</f>
        <v>197.17061721735843</v>
      </c>
      <c r="C4" s="2">
        <f t="shared" ref="C4:C14" si="1">1/(J4*I4*H4)</f>
        <v>4.9761146496815276E-2</v>
      </c>
      <c r="D4" s="2">
        <v>3970</v>
      </c>
      <c r="E4" s="2">
        <v>2.3770000000000002E-3</v>
      </c>
      <c r="F4" s="2">
        <f t="shared" ref="F4:F14" si="2">A4*1078</f>
        <v>161.69999999999999</v>
      </c>
      <c r="G4" s="2">
        <v>128</v>
      </c>
      <c r="H4" s="2">
        <v>8</v>
      </c>
      <c r="I4" s="2">
        <v>0.8</v>
      </c>
      <c r="J4" s="2">
        <v>3.14</v>
      </c>
    </row>
    <row r="5" spans="1:10" x14ac:dyDescent="0.3">
      <c r="A5" s="2">
        <v>0.2</v>
      </c>
      <c r="B5" s="2">
        <f t="shared" si="0"/>
        <v>110.90847218476409</v>
      </c>
      <c r="C5" s="2">
        <f t="shared" si="1"/>
        <v>4.9761146496815276E-2</v>
      </c>
      <c r="D5" s="2">
        <v>3970</v>
      </c>
      <c r="E5" s="2">
        <v>2.3770000000000002E-3</v>
      </c>
      <c r="F5" s="2">
        <f t="shared" si="2"/>
        <v>215.60000000000002</v>
      </c>
      <c r="G5" s="2">
        <v>128</v>
      </c>
      <c r="H5" s="2">
        <v>8</v>
      </c>
      <c r="I5" s="2">
        <v>0.8</v>
      </c>
      <c r="J5" s="2">
        <v>3.14</v>
      </c>
    </row>
    <row r="6" spans="1:10" x14ac:dyDescent="0.3">
      <c r="A6" s="2">
        <v>0.25</v>
      </c>
      <c r="B6" s="2">
        <f t="shared" si="0"/>
        <v>70.981422198249035</v>
      </c>
      <c r="C6" s="2">
        <f t="shared" si="1"/>
        <v>4.9761146496815276E-2</v>
      </c>
      <c r="D6" s="2">
        <v>3970</v>
      </c>
      <c r="E6" s="2">
        <v>2.3770000000000002E-3</v>
      </c>
      <c r="F6" s="2">
        <f t="shared" si="2"/>
        <v>269.5</v>
      </c>
      <c r="G6" s="2">
        <v>128</v>
      </c>
      <c r="H6" s="2">
        <v>8</v>
      </c>
      <c r="I6" s="2">
        <v>0.8</v>
      </c>
      <c r="J6" s="2">
        <v>3.14</v>
      </c>
    </row>
    <row r="7" spans="1:10" x14ac:dyDescent="0.3">
      <c r="A7" s="2">
        <v>0.3</v>
      </c>
      <c r="B7" s="2">
        <f t="shared" si="0"/>
        <v>49.292654304339607</v>
      </c>
      <c r="C7" s="2">
        <f t="shared" si="1"/>
        <v>4.9761146496815276E-2</v>
      </c>
      <c r="D7" s="2">
        <v>3970</v>
      </c>
      <c r="E7" s="2">
        <v>2.3770000000000002E-3</v>
      </c>
      <c r="F7" s="2">
        <f t="shared" si="2"/>
        <v>323.39999999999998</v>
      </c>
      <c r="G7" s="2">
        <v>128</v>
      </c>
      <c r="H7" s="2">
        <v>8</v>
      </c>
      <c r="I7" s="2">
        <v>0.8</v>
      </c>
      <c r="J7" s="2">
        <v>3.14</v>
      </c>
    </row>
    <row r="8" spans="1:10" x14ac:dyDescent="0.3">
      <c r="A8" s="2">
        <v>0.35</v>
      </c>
      <c r="B8" s="2">
        <f t="shared" si="0"/>
        <v>36.215011325637271</v>
      </c>
      <c r="C8" s="2">
        <f t="shared" si="1"/>
        <v>4.9761146496815276E-2</v>
      </c>
      <c r="D8" s="2">
        <v>3970</v>
      </c>
      <c r="E8" s="2">
        <v>2.3770000000000002E-3</v>
      </c>
      <c r="F8" s="2">
        <f t="shared" si="2"/>
        <v>377.29999999999995</v>
      </c>
      <c r="G8" s="2">
        <v>128</v>
      </c>
      <c r="H8" s="2">
        <v>8</v>
      </c>
      <c r="I8" s="2">
        <v>0.8</v>
      </c>
      <c r="J8" s="2">
        <v>3.14</v>
      </c>
    </row>
    <row r="9" spans="1:10" x14ac:dyDescent="0.3">
      <c r="A9" s="2">
        <v>0.4</v>
      </c>
      <c r="B9" s="2">
        <f t="shared" si="0"/>
        <v>27.727118046191023</v>
      </c>
      <c r="C9" s="2">
        <f t="shared" si="1"/>
        <v>4.9761146496815276E-2</v>
      </c>
      <c r="D9" s="2">
        <v>3970</v>
      </c>
      <c r="E9" s="2">
        <v>2.3770000000000002E-3</v>
      </c>
      <c r="F9" s="2">
        <f t="shared" si="2"/>
        <v>431.20000000000005</v>
      </c>
      <c r="G9" s="2">
        <v>128</v>
      </c>
      <c r="H9" s="2">
        <v>8</v>
      </c>
      <c r="I9" s="2">
        <v>0.8</v>
      </c>
      <c r="J9" s="2">
        <v>3.14</v>
      </c>
    </row>
    <row r="10" spans="1:10" x14ac:dyDescent="0.3">
      <c r="A10" s="2">
        <v>0.45</v>
      </c>
      <c r="B10" s="2">
        <f t="shared" si="0"/>
        <v>21.907846357484264</v>
      </c>
      <c r="C10" s="2">
        <f t="shared" si="1"/>
        <v>4.9761146496815276E-2</v>
      </c>
      <c r="D10" s="2">
        <v>3970</v>
      </c>
      <c r="E10" s="2">
        <v>2.3770000000000002E-3</v>
      </c>
      <c r="F10" s="2">
        <f t="shared" si="2"/>
        <v>485.1</v>
      </c>
      <c r="G10" s="2">
        <v>128</v>
      </c>
      <c r="H10" s="2">
        <v>8</v>
      </c>
      <c r="I10" s="2">
        <v>0.8</v>
      </c>
      <c r="J10" s="2">
        <v>3.14</v>
      </c>
    </row>
    <row r="11" spans="1:10" x14ac:dyDescent="0.3">
      <c r="A11" s="2">
        <v>0.5</v>
      </c>
      <c r="B11" s="2">
        <f t="shared" si="0"/>
        <v>17.745355549562259</v>
      </c>
      <c r="C11" s="2">
        <f t="shared" si="1"/>
        <v>4.9761146496815276E-2</v>
      </c>
      <c r="D11" s="2">
        <v>3970</v>
      </c>
      <c r="E11" s="2">
        <v>2.3770000000000002E-3</v>
      </c>
      <c r="F11" s="2">
        <f t="shared" si="2"/>
        <v>539</v>
      </c>
      <c r="G11" s="2">
        <v>128</v>
      </c>
      <c r="H11" s="2">
        <v>8</v>
      </c>
      <c r="I11" s="2">
        <v>0.8</v>
      </c>
      <c r="J11" s="2">
        <v>3.14</v>
      </c>
    </row>
    <row r="12" spans="1:10" x14ac:dyDescent="0.3">
      <c r="A12" s="2">
        <v>0.55000000000000004</v>
      </c>
      <c r="B12" s="2">
        <f t="shared" si="0"/>
        <v>14.66558309881178</v>
      </c>
      <c r="C12" s="2">
        <f t="shared" si="1"/>
        <v>4.9761146496815276E-2</v>
      </c>
      <c r="D12" s="2">
        <v>3970</v>
      </c>
      <c r="E12" s="2">
        <v>2.3770000000000002E-3</v>
      </c>
      <c r="F12" s="2">
        <f t="shared" si="2"/>
        <v>592.90000000000009</v>
      </c>
      <c r="G12" s="2">
        <v>128</v>
      </c>
      <c r="H12" s="2">
        <v>8</v>
      </c>
      <c r="I12" s="2">
        <v>0.8</v>
      </c>
      <c r="J12" s="2">
        <v>3.14</v>
      </c>
    </row>
    <row r="13" spans="1:10" x14ac:dyDescent="0.3">
      <c r="A13" s="2">
        <v>0.6</v>
      </c>
      <c r="B13" s="2">
        <f t="shared" si="0"/>
        <v>12.323163576084902</v>
      </c>
      <c r="C13" s="2">
        <f t="shared" si="1"/>
        <v>4.9761146496815276E-2</v>
      </c>
      <c r="D13" s="2">
        <v>3970</v>
      </c>
      <c r="E13" s="2">
        <v>2.3770000000000002E-3</v>
      </c>
      <c r="F13" s="2">
        <f t="shared" si="2"/>
        <v>646.79999999999995</v>
      </c>
      <c r="G13" s="2">
        <v>128</v>
      </c>
      <c r="H13" s="2">
        <v>8</v>
      </c>
      <c r="I13" s="2">
        <v>0.8</v>
      </c>
      <c r="J13" s="2">
        <v>3.14</v>
      </c>
    </row>
    <row r="14" spans="1:10" x14ac:dyDescent="0.3">
      <c r="A14" s="2">
        <v>0.65</v>
      </c>
      <c r="B14" s="2">
        <f t="shared" si="0"/>
        <v>10.500210384356365</v>
      </c>
      <c r="C14" s="2">
        <f t="shared" si="1"/>
        <v>4.9761146496815276E-2</v>
      </c>
      <c r="D14" s="2">
        <v>3970</v>
      </c>
      <c r="E14" s="2">
        <v>2.3770000000000002E-3</v>
      </c>
      <c r="F14" s="2">
        <f t="shared" si="2"/>
        <v>700.7</v>
      </c>
      <c r="G14" s="2">
        <v>128</v>
      </c>
      <c r="H14" s="2">
        <v>8</v>
      </c>
      <c r="I14" s="2">
        <v>0.8</v>
      </c>
      <c r="J14" s="2">
        <v>3.14</v>
      </c>
    </row>
    <row r="17" spans="1:12" x14ac:dyDescent="0.3">
      <c r="A17" s="2" t="s">
        <v>24</v>
      </c>
      <c r="B17" s="2" t="s">
        <v>25</v>
      </c>
      <c r="C17" s="2" t="s">
        <v>26</v>
      </c>
      <c r="D17" s="2" t="s">
        <v>34</v>
      </c>
      <c r="E17" s="2" t="s">
        <v>28</v>
      </c>
      <c r="F17" s="2" t="s">
        <v>27</v>
      </c>
      <c r="G17" s="2" t="s">
        <v>33</v>
      </c>
      <c r="H17" s="2" t="s">
        <v>6</v>
      </c>
      <c r="I17" s="2" t="s">
        <v>29</v>
      </c>
      <c r="J17" s="2" t="s">
        <v>30</v>
      </c>
      <c r="K17" s="2" t="s">
        <v>19</v>
      </c>
      <c r="L17" s="1" t="s">
        <v>23</v>
      </c>
    </row>
    <row r="18" spans="1:12" x14ac:dyDescent="0.3">
      <c r="A18" s="2">
        <v>0.1</v>
      </c>
      <c r="B18" s="2">
        <f>G18*K18*D18</f>
        <v>16.299624460134407</v>
      </c>
      <c r="C18" s="2">
        <f>1/(J18*I18*H18)</f>
        <v>4.9761146496815276E-2</v>
      </c>
      <c r="D18" s="2">
        <v>9.2200000000000008E-3</v>
      </c>
      <c r="E18" s="2">
        <v>2.3770000000000002E-3</v>
      </c>
      <c r="F18" s="2">
        <f>A18*1078</f>
        <v>107.80000000000001</v>
      </c>
      <c r="G18" s="2">
        <f>F18*F18*E18*0.5</f>
        <v>13.811368340000003</v>
      </c>
      <c r="H18" s="2">
        <v>8</v>
      </c>
      <c r="I18" s="2">
        <v>0.8</v>
      </c>
      <c r="J18" s="2">
        <v>3.14</v>
      </c>
      <c r="K18" s="2">
        <v>128</v>
      </c>
      <c r="L18" s="1">
        <v>3.7799999999999999E-3</v>
      </c>
    </row>
    <row r="19" spans="1:12" x14ac:dyDescent="0.3">
      <c r="A19" s="2">
        <v>0.15</v>
      </c>
      <c r="B19" s="2">
        <f t="shared" ref="B19:B29" si="3">G19*K19*D19</f>
        <v>36.634378294483191</v>
      </c>
      <c r="C19" s="2">
        <f t="shared" ref="C19:C29" si="4">1/(J19*I19*H19)</f>
        <v>4.9761146496815276E-2</v>
      </c>
      <c r="D19" s="2">
        <v>9.2099999999999994E-3</v>
      </c>
      <c r="E19" s="2">
        <v>2.3770000000000002E-3</v>
      </c>
      <c r="F19" s="2">
        <f t="shared" ref="F19:F29" si="5">A19*1078</f>
        <v>161.69999999999999</v>
      </c>
      <c r="G19" s="2">
        <f t="shared" ref="G19:G29" si="6">F19*F19*E19*0.5</f>
        <v>31.075578764999996</v>
      </c>
      <c r="H19" s="2">
        <v>8</v>
      </c>
      <c r="I19" s="2">
        <v>0.8</v>
      </c>
      <c r="J19" s="2">
        <v>3.14</v>
      </c>
      <c r="K19" s="2">
        <v>128</v>
      </c>
      <c r="L19" s="1">
        <v>3.7699999999999999E-3</v>
      </c>
    </row>
    <row r="20" spans="1:12" x14ac:dyDescent="0.3">
      <c r="A20" s="2">
        <v>0.2</v>
      </c>
      <c r="B20" s="2">
        <f t="shared" si="3"/>
        <v>65.269212046438412</v>
      </c>
      <c r="C20" s="2">
        <f t="shared" si="4"/>
        <v>4.9761146496815276E-2</v>
      </c>
      <c r="D20" s="2">
        <v>9.2300000000000004E-3</v>
      </c>
      <c r="E20" s="2">
        <v>2.3770000000000002E-3</v>
      </c>
      <c r="F20" s="2">
        <f t="shared" si="5"/>
        <v>215.60000000000002</v>
      </c>
      <c r="G20" s="2">
        <f t="shared" si="6"/>
        <v>55.245473360000013</v>
      </c>
      <c r="H20" s="2">
        <v>8</v>
      </c>
      <c r="I20" s="2">
        <v>0.8</v>
      </c>
      <c r="J20" s="2">
        <v>3.14</v>
      </c>
      <c r="K20" s="2">
        <v>128</v>
      </c>
      <c r="L20" s="1">
        <v>3.79E-3</v>
      </c>
    </row>
    <row r="21" spans="1:12" x14ac:dyDescent="0.3">
      <c r="A21" s="2">
        <v>0.25</v>
      </c>
      <c r="B21" s="2">
        <f t="shared" si="3"/>
        <v>101.32019814224</v>
      </c>
      <c r="C21" s="2">
        <f t="shared" si="4"/>
        <v>4.9761146496815276E-2</v>
      </c>
      <c r="D21" s="2">
        <v>9.1699999999999993E-3</v>
      </c>
      <c r="E21" s="2">
        <v>2.3770000000000002E-3</v>
      </c>
      <c r="F21" s="2">
        <f t="shared" si="5"/>
        <v>269.5</v>
      </c>
      <c r="G21" s="2">
        <f t="shared" si="6"/>
        <v>86.321052125000008</v>
      </c>
      <c r="H21" s="2">
        <v>8</v>
      </c>
      <c r="I21" s="2">
        <v>0.8</v>
      </c>
      <c r="J21" s="2">
        <v>3.14</v>
      </c>
      <c r="K21" s="2">
        <v>128</v>
      </c>
      <c r="L21" s="1">
        <v>3.7299999999999998E-3</v>
      </c>
    </row>
    <row r="22" spans="1:12" x14ac:dyDescent="0.3">
      <c r="A22" s="2">
        <v>0.3</v>
      </c>
      <c r="B22" s="2">
        <f t="shared" si="3"/>
        <v>146.2192992513792</v>
      </c>
      <c r="C22" s="2">
        <f t="shared" si="4"/>
        <v>4.9761146496815276E-2</v>
      </c>
      <c r="D22" s="2">
        <v>9.1900000000000003E-3</v>
      </c>
      <c r="E22" s="2">
        <v>2.3770000000000002E-3</v>
      </c>
      <c r="F22" s="2">
        <f t="shared" si="5"/>
        <v>323.39999999999998</v>
      </c>
      <c r="G22" s="2">
        <f t="shared" si="6"/>
        <v>124.30231505999998</v>
      </c>
      <c r="H22" s="2">
        <v>8</v>
      </c>
      <c r="I22" s="2">
        <v>0.8</v>
      </c>
      <c r="J22" s="2">
        <v>3.14</v>
      </c>
      <c r="K22" s="2">
        <v>128</v>
      </c>
      <c r="L22" s="1">
        <v>3.7499999999999999E-3</v>
      </c>
    </row>
    <row r="23" spans="1:12" x14ac:dyDescent="0.3">
      <c r="A23" s="2">
        <v>0.35</v>
      </c>
      <c r="B23" s="2">
        <f t="shared" si="3"/>
        <v>197.72133933650559</v>
      </c>
      <c r="C23" s="2">
        <f t="shared" si="4"/>
        <v>4.9761146496815276E-2</v>
      </c>
      <c r="D23" s="2">
        <v>9.1299999999999992E-3</v>
      </c>
      <c r="E23" s="2">
        <v>2.3770000000000002E-3</v>
      </c>
      <c r="F23" s="2">
        <f t="shared" si="5"/>
        <v>377.29999999999995</v>
      </c>
      <c r="G23" s="2">
        <f t="shared" si="6"/>
        <v>169.189262165</v>
      </c>
      <c r="H23" s="2">
        <v>8</v>
      </c>
      <c r="I23" s="2">
        <v>0.8</v>
      </c>
      <c r="J23" s="2">
        <v>3.14</v>
      </c>
      <c r="K23" s="2">
        <v>128</v>
      </c>
      <c r="L23" s="1">
        <v>3.6900000000000001E-3</v>
      </c>
    </row>
    <row r="24" spans="1:12" x14ac:dyDescent="0.3">
      <c r="A24" s="2">
        <v>0.4</v>
      </c>
      <c r="B24" s="2">
        <f t="shared" si="3"/>
        <v>0</v>
      </c>
      <c r="C24" s="2">
        <f t="shared" si="4"/>
        <v>4.9761146496815276E-2</v>
      </c>
      <c r="D24" s="2"/>
      <c r="E24" s="2">
        <v>2.3770000000000002E-3</v>
      </c>
      <c r="F24" s="2">
        <f t="shared" si="5"/>
        <v>431.20000000000005</v>
      </c>
      <c r="G24" s="2">
        <f t="shared" si="6"/>
        <v>220.98189344000005</v>
      </c>
      <c r="H24" s="2">
        <v>8</v>
      </c>
      <c r="I24" s="2">
        <v>0.8</v>
      </c>
      <c r="J24" s="2">
        <v>3.14</v>
      </c>
      <c r="K24" s="2">
        <v>128</v>
      </c>
    </row>
    <row r="25" spans="1:12" x14ac:dyDescent="0.3">
      <c r="A25" s="2">
        <v>0.45</v>
      </c>
      <c r="B25" s="2">
        <f t="shared" si="3"/>
        <v>0</v>
      </c>
      <c r="C25" s="2">
        <f t="shared" si="4"/>
        <v>4.9761146496815276E-2</v>
      </c>
      <c r="D25" s="2"/>
      <c r="E25" s="2">
        <v>2.3770000000000002E-3</v>
      </c>
      <c r="F25" s="2">
        <f t="shared" si="5"/>
        <v>485.1</v>
      </c>
      <c r="G25" s="2">
        <f t="shared" si="6"/>
        <v>279.68020888500001</v>
      </c>
      <c r="H25" s="2">
        <v>8</v>
      </c>
      <c r="I25" s="2">
        <v>0.8</v>
      </c>
      <c r="J25" s="2">
        <v>3.14</v>
      </c>
      <c r="K25" s="2">
        <v>128</v>
      </c>
    </row>
    <row r="26" spans="1:12" x14ac:dyDescent="0.3">
      <c r="A26" s="2">
        <v>0.5</v>
      </c>
      <c r="B26" s="2">
        <f t="shared" si="3"/>
        <v>0</v>
      </c>
      <c r="C26" s="2">
        <f t="shared" si="4"/>
        <v>4.9761146496815276E-2</v>
      </c>
      <c r="D26" s="2"/>
      <c r="E26" s="2">
        <v>2.3770000000000002E-3</v>
      </c>
      <c r="F26" s="2">
        <f t="shared" si="5"/>
        <v>539</v>
      </c>
      <c r="G26" s="2">
        <f t="shared" si="6"/>
        <v>345.28420850000003</v>
      </c>
      <c r="H26" s="2">
        <v>8</v>
      </c>
      <c r="I26" s="2">
        <v>0.8</v>
      </c>
      <c r="J26" s="2">
        <v>3.14</v>
      </c>
      <c r="K26" s="2">
        <v>128</v>
      </c>
    </row>
    <row r="27" spans="1:12" x14ac:dyDescent="0.3">
      <c r="A27" s="2">
        <v>0.55000000000000004</v>
      </c>
      <c r="B27" s="2">
        <f t="shared" si="3"/>
        <v>0</v>
      </c>
      <c r="C27" s="2">
        <f t="shared" si="4"/>
        <v>4.9761146496815276E-2</v>
      </c>
      <c r="D27" s="2"/>
      <c r="E27" s="2">
        <v>2.3770000000000002E-3</v>
      </c>
      <c r="F27" s="2">
        <f t="shared" si="5"/>
        <v>592.90000000000009</v>
      </c>
      <c r="G27" s="2">
        <f t="shared" si="6"/>
        <v>417.79389228500014</v>
      </c>
      <c r="H27" s="2">
        <v>8</v>
      </c>
      <c r="I27" s="2">
        <v>0.8</v>
      </c>
      <c r="J27" s="2">
        <v>3.14</v>
      </c>
      <c r="K27" s="2">
        <v>128</v>
      </c>
    </row>
    <row r="28" spans="1:12" x14ac:dyDescent="0.3">
      <c r="A28" s="2">
        <v>0.6</v>
      </c>
      <c r="B28" s="2">
        <f t="shared" si="3"/>
        <v>0</v>
      </c>
      <c r="C28" s="2">
        <f t="shared" si="4"/>
        <v>4.9761146496815276E-2</v>
      </c>
      <c r="D28" s="2"/>
      <c r="E28" s="2">
        <v>2.3770000000000002E-3</v>
      </c>
      <c r="F28" s="2">
        <f t="shared" si="5"/>
        <v>646.79999999999995</v>
      </c>
      <c r="G28" s="2">
        <f t="shared" si="6"/>
        <v>497.20926023999994</v>
      </c>
      <c r="H28" s="2">
        <v>8</v>
      </c>
      <c r="I28" s="2">
        <v>0.8</v>
      </c>
      <c r="J28" s="2">
        <v>3.14</v>
      </c>
      <c r="K28" s="2">
        <v>128</v>
      </c>
    </row>
    <row r="29" spans="1:12" x14ac:dyDescent="0.3">
      <c r="A29" s="2">
        <v>0.65</v>
      </c>
      <c r="B29" s="2">
        <f t="shared" si="3"/>
        <v>0</v>
      </c>
      <c r="C29" s="2">
        <f t="shared" si="4"/>
        <v>4.9761146496815276E-2</v>
      </c>
      <c r="D29" s="2"/>
      <c r="E29" s="2">
        <v>2.3770000000000002E-3</v>
      </c>
      <c r="F29" s="2">
        <f t="shared" si="5"/>
        <v>700.7</v>
      </c>
      <c r="G29" s="2">
        <f t="shared" si="6"/>
        <v>583.5303123650001</v>
      </c>
      <c r="H29" s="2">
        <v>8</v>
      </c>
      <c r="I29" s="2">
        <v>0.8</v>
      </c>
      <c r="J29" s="2">
        <v>3.14</v>
      </c>
      <c r="K29" s="2">
        <v>128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Teste 1</vt:lpstr>
      <vt:lpstr>Teste 2</vt:lpstr>
      <vt:lpstr>CDi x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Gärtner da Maia</dc:creator>
  <cp:lastModifiedBy>Ana Carolina Gärtner da Maia</cp:lastModifiedBy>
  <dcterms:created xsi:type="dcterms:W3CDTF">2025-11-10T17:13:41Z</dcterms:created>
  <dcterms:modified xsi:type="dcterms:W3CDTF">2025-11-21T01:47:08Z</dcterms:modified>
</cp:coreProperties>
</file>